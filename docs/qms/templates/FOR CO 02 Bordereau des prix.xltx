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Default Extension="jpeg" ContentType="image/jpeg"/>
  <Default Extension="rels" ContentType="application/vnd.openxmlformats-package.relationships+xml"/>
  <Default Extension="xml" ContentType="application/xml"/>
  <Override PartName="/xl/workbook.xml" ContentType="application/vnd.openxmlformats-officedocument.spreadsheetml.template.main+xml"/>
  <Override PartName="/docProps/app.xml" ContentType="application/vnd.openxmlformats-officedocument.extended-properties+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workbookPr defaultThemeVersion="124226"/>
  <bookViews>
    <workbookView xWindow="360" yWindow="60" windowWidth="11595" windowHeight="9210"/>
  </bookViews>
  <sheets>
    <sheet name="OFFRE DE PRIX" sheetId="1" r:id="rId1"/>
  </sheets>
  <definedNames>
    <definedName name="_xlnm.Print_Area" localSheetId="0">'OFFRE DE PRIX'!$A$1:$G$353</definedName>
  </definedNames>
  <calcPr calcId="124519"/>
</workbook>
</file>

<file path=xl/calcChain.xml><?xml version="1.0" encoding="utf-8"?>
<calcChain xmlns="http://schemas.openxmlformats.org/spreadsheetml/2006/main">
  <c r="A332" i="1"/>
  <c r="C312"/>
  <c r="C309"/>
  <c r="C306"/>
  <c r="C305"/>
  <c r="C298"/>
  <c r="C294"/>
  <c r="C299"/>
  <c r="C60"/>
  <c r="C272"/>
  <c r="A331"/>
  <c r="A338"/>
  <c r="A337"/>
  <c r="A336"/>
  <c r="A335"/>
  <c r="C259"/>
  <c r="C245"/>
  <c r="C224"/>
  <c r="B317"/>
  <c r="C40"/>
  <c r="C154"/>
  <c r="C135"/>
  <c r="C46"/>
  <c r="C295"/>
  <c r="C292"/>
  <c r="C24"/>
  <c r="C74"/>
  <c r="A317"/>
  <c r="A328"/>
  <c r="A333"/>
  <c r="C258"/>
  <c r="C271"/>
  <c r="C153"/>
  <c r="C291"/>
  <c r="C244"/>
  <c r="C223"/>
  <c r="C59"/>
  <c r="C73"/>
  <c r="C134"/>
</calcChain>
</file>

<file path=xl/sharedStrings.xml><?xml version="1.0" encoding="utf-8"?>
<sst xmlns="http://schemas.openxmlformats.org/spreadsheetml/2006/main" count="677" uniqueCount="371">
  <si>
    <t>II.</t>
  </si>
  <si>
    <t>II.1</t>
  </si>
  <si>
    <t>II.2</t>
  </si>
  <si>
    <t>II.3</t>
  </si>
  <si>
    <t>II.4</t>
  </si>
  <si>
    <t>II.5</t>
  </si>
  <si>
    <t>RECAPITULATIF GENERAL</t>
  </si>
  <si>
    <t>N°</t>
  </si>
  <si>
    <t>DESIGNATION DES PRESTATIONS</t>
  </si>
  <si>
    <t>I.</t>
  </si>
  <si>
    <t>NORME</t>
  </si>
  <si>
    <t>UNITE</t>
  </si>
  <si>
    <t>QTE</t>
  </si>
  <si>
    <t>II.6</t>
  </si>
  <si>
    <t>I.2</t>
  </si>
  <si>
    <t>I.3</t>
  </si>
  <si>
    <t>I.1</t>
  </si>
  <si>
    <t>Ens</t>
  </si>
  <si>
    <t>P</t>
  </si>
  <si>
    <t xml:space="preserve">TRAVAUX PRELIMINAIRES </t>
  </si>
  <si>
    <t>LES PALMIERS</t>
  </si>
  <si>
    <t>I.4</t>
  </si>
  <si>
    <t>ENGAZONNEMENT</t>
  </si>
  <si>
    <t>M²</t>
  </si>
  <si>
    <t>TONNE</t>
  </si>
  <si>
    <t>MATIERE DECORATIVE</t>
  </si>
  <si>
    <t>Sac</t>
  </si>
  <si>
    <t>LES ARBRES</t>
  </si>
  <si>
    <t>M³</t>
  </si>
  <si>
    <t>LES GRAMINEES</t>
  </si>
  <si>
    <t>LES CONIFERES</t>
  </si>
  <si>
    <t>II.7</t>
  </si>
  <si>
    <t>II.8</t>
  </si>
  <si>
    <t>LES PLANTES FLORALES</t>
  </si>
  <si>
    <t>II.9</t>
  </si>
  <si>
    <t>II.10</t>
  </si>
  <si>
    <t>II.11</t>
  </si>
  <si>
    <t>I.5</t>
  </si>
  <si>
    <t>I.6</t>
  </si>
  <si>
    <t>Installation du système de drainage</t>
  </si>
  <si>
    <t xml:space="preserve">Date : </t>
  </si>
  <si>
    <t>Maitre d'ouvrage :</t>
  </si>
  <si>
    <r>
      <rPr>
        <b/>
        <u/>
        <sz val="11"/>
        <rFont val="Arial"/>
        <family val="2"/>
      </rPr>
      <t xml:space="preserve">Installation du système de drainage : </t>
    </r>
    <r>
      <rPr>
        <sz val="11"/>
        <rFont val="Arial"/>
        <family val="2"/>
      </rPr>
      <t xml:space="preserve">
</t>
    </r>
    <r>
      <rPr>
        <sz val="10"/>
        <rFont val="Arial"/>
        <family val="2"/>
      </rPr>
      <t>L’opération comprend les differentes étapes afin d'installer le système de drainage assurant la bonne infiltration de l'eau dans le sol.</t>
    </r>
  </si>
  <si>
    <t>I.7</t>
  </si>
  <si>
    <t>LES CACTEES ET PLANTES GRASSES</t>
  </si>
  <si>
    <t>LES ARBUSTES &amp; ARBRISSEAUX</t>
  </si>
  <si>
    <t>LES PLANTES GRIMPAMTES</t>
  </si>
  <si>
    <t>LES PLANTES AROMATIQUES &amp; MEDICINALES</t>
  </si>
  <si>
    <t>LES PLANTES D'INTERIEUR</t>
  </si>
  <si>
    <t>II.12</t>
  </si>
  <si>
    <r>
      <t xml:space="preserve">Ce prix rémunère au mètre carré la fourniture des plaques de gazon et l’exécution des travaux de plaquage du gazon selon les espèces demandées, préparation et amendement du sol, nivellement et plantation du gazon. 
</t>
    </r>
    <r>
      <rPr>
        <b/>
        <sz val="10"/>
        <rFont val="Arial"/>
        <family val="2"/>
      </rPr>
      <t>Type de gazon : ............................</t>
    </r>
  </si>
  <si>
    <t>II.13</t>
  </si>
  <si>
    <t>II.14</t>
  </si>
  <si>
    <t>Transplantation</t>
  </si>
  <si>
    <r>
      <t xml:space="preserve">Transplantations : 
</t>
    </r>
    <r>
      <rPr>
        <sz val="10"/>
        <rFont val="Arial"/>
        <family val="2"/>
      </rPr>
      <t>L'opération concerne les palmiers, les oliviers et les arbres fruitiers et consiste à faire sortir les plantes de la terre pour les replanter ailleurs.</t>
    </r>
  </si>
  <si>
    <t>Décapage et nettoyage du sol</t>
  </si>
  <si>
    <t>Fourniture et pose de la terre végétale</t>
  </si>
  <si>
    <t>Amendement minéral</t>
  </si>
  <si>
    <t>Amendements organiques</t>
  </si>
  <si>
    <t>Nivellement et terrassement</t>
  </si>
  <si>
    <t>Les palmiers</t>
  </si>
  <si>
    <t>Les conifères</t>
  </si>
  <si>
    <t>Les arbres</t>
  </si>
  <si>
    <t>Les arbustes &amp; arbrisseaux</t>
  </si>
  <si>
    <t>Les graminées</t>
  </si>
  <si>
    <t>Les cactées et plantes grasses</t>
  </si>
  <si>
    <t>Les plantes florales</t>
  </si>
  <si>
    <t>Les plantes grimpantes</t>
  </si>
  <si>
    <t>Les plantes aromatiques &amp; médicinales</t>
  </si>
  <si>
    <t>Les plantes d'intérieur</t>
  </si>
  <si>
    <t>Les arbres fruitiers</t>
  </si>
  <si>
    <t>L'engazonnement</t>
  </si>
  <si>
    <t>La matière décorative</t>
  </si>
  <si>
    <t>I.8</t>
  </si>
  <si>
    <r>
      <t xml:space="preserve">FOURNITURE DES VEGETAUX 
</t>
    </r>
    <r>
      <rPr>
        <sz val="10"/>
        <rFont val="Arial"/>
        <family val="2"/>
      </rPr>
      <t>L’opération comprend la fourniture des plantes en mottes et en pots aux normes demandées.</t>
    </r>
  </si>
  <si>
    <t>BACS A FLEURS</t>
  </si>
  <si>
    <t>Kentia</t>
  </si>
  <si>
    <t>Areca</t>
  </si>
  <si>
    <t>Dracaena marginata</t>
  </si>
  <si>
    <t>Pothos</t>
  </si>
  <si>
    <t>Clivia miniata</t>
  </si>
  <si>
    <t>Phalaenopsis</t>
  </si>
  <si>
    <t>Anthurium andraeanum</t>
  </si>
  <si>
    <t>Beaucarnea recurvata</t>
  </si>
  <si>
    <t>Spathiphyllum</t>
  </si>
  <si>
    <t>Philodendron</t>
  </si>
  <si>
    <t>Sansevieria cylindrica</t>
  </si>
  <si>
    <t>Sansevieria trifasciata</t>
  </si>
  <si>
    <t xml:space="preserve">Sansevieria trifasciata 'Hahnii' </t>
  </si>
  <si>
    <t>Euphorbia ingens</t>
  </si>
  <si>
    <t>II.15</t>
  </si>
  <si>
    <t>II.16</t>
  </si>
  <si>
    <t>II.17</t>
  </si>
  <si>
    <t>INSTALLATION DU MUR VEGETAL EN LICHEN</t>
  </si>
  <si>
    <t>INSTALLATION DU MUR VEGETAL EN MOUSSE</t>
  </si>
  <si>
    <t xml:space="preserve">TOTAL PARTIEL HTVA </t>
  </si>
  <si>
    <t>Travaux de plantation</t>
  </si>
  <si>
    <t xml:space="preserve">FOURNITURE DES VEGETAUX </t>
  </si>
  <si>
    <t>Bacs à fleurs</t>
  </si>
  <si>
    <t>Installation du mur végétal naturel</t>
  </si>
  <si>
    <t>Installation du mur végétal en Mousse</t>
  </si>
  <si>
    <t>Installation du mur végétal en Lichen</t>
  </si>
  <si>
    <t>Cycas revoluta</t>
  </si>
  <si>
    <t>Livistonia chinensis</t>
  </si>
  <si>
    <t>Phoenix canariensis</t>
  </si>
  <si>
    <t>Washingtonia filifera</t>
  </si>
  <si>
    <t xml:space="preserve">Cupressus leylandii </t>
  </si>
  <si>
    <t>Cupressus leylandii spiral</t>
  </si>
  <si>
    <t>Cupressus sempervirens</t>
  </si>
  <si>
    <t>Ficus benjamina</t>
  </si>
  <si>
    <t>Ficus microcapa</t>
  </si>
  <si>
    <t>Ficus tressé</t>
  </si>
  <si>
    <t>Olivier</t>
  </si>
  <si>
    <t>LES ARBRES ET ARBUSTES FRUITIERS</t>
  </si>
  <si>
    <t xml:space="preserve">Camelia japonica </t>
  </si>
  <si>
    <t>Jacobinia</t>
  </si>
  <si>
    <t>Lagestromia</t>
  </si>
  <si>
    <t>Lagunaria</t>
  </si>
  <si>
    <t>Myoporum</t>
  </si>
  <si>
    <t>Pinus pinea</t>
  </si>
  <si>
    <t>Portulacaria</t>
  </si>
  <si>
    <t>Rhyncospermum jasminoides</t>
  </si>
  <si>
    <t>Tamarix</t>
  </si>
  <si>
    <t>Thevetia</t>
  </si>
  <si>
    <t>Yucca elephantipes</t>
  </si>
  <si>
    <t>Festuca glauca</t>
  </si>
  <si>
    <t>Aloe vera</t>
  </si>
  <si>
    <t>Plantes grasses</t>
  </si>
  <si>
    <t>Agave attenuata</t>
  </si>
  <si>
    <t>Galet blanc</t>
  </si>
  <si>
    <t>Cubique</t>
  </si>
  <si>
    <t>Pyramidal</t>
  </si>
  <si>
    <t>Jardinière</t>
  </si>
  <si>
    <t>Amaryllis</t>
  </si>
  <si>
    <t>Arum</t>
  </si>
  <si>
    <t>Iris</t>
  </si>
  <si>
    <t>Arecastrum romanzoffianum</t>
  </si>
  <si>
    <t>Butia capitata</t>
  </si>
  <si>
    <t>Bismarckia</t>
  </si>
  <si>
    <t>Chamaerops excelsa</t>
  </si>
  <si>
    <t>Chamaerops humilis</t>
  </si>
  <si>
    <t>Cycas circinalis</t>
  </si>
  <si>
    <t>Phoenix roebelenii</t>
  </si>
  <si>
    <t>Phoenix dactylifera</t>
  </si>
  <si>
    <t>Archontophoenix</t>
  </si>
  <si>
    <t>Rhaphis excelsa</t>
  </si>
  <si>
    <t>I.9</t>
  </si>
  <si>
    <r>
      <rPr>
        <b/>
        <u/>
        <sz val="11"/>
        <rFont val="Arial"/>
        <family val="2"/>
      </rPr>
      <t>Nivellement et terrassement :</t>
    </r>
    <r>
      <rPr>
        <sz val="11"/>
        <rFont val="Arial"/>
        <family val="2"/>
      </rPr>
      <t xml:space="preserve"> 
L'</t>
    </r>
    <r>
      <rPr>
        <sz val="10"/>
        <rFont val="Arial"/>
        <family val="2"/>
      </rPr>
      <t>opération consiste à niveler le terrain conformément aux cotes du plan d'implantation.</t>
    </r>
  </si>
  <si>
    <t>Installation du système d'arrosage</t>
  </si>
  <si>
    <t>FOURNITURE DES VEGETAUX</t>
  </si>
  <si>
    <t>Jasminum officinale</t>
  </si>
  <si>
    <t>Bougainvillea glabra</t>
  </si>
  <si>
    <t>Hedera helix</t>
  </si>
  <si>
    <t>Parthenocissus quinquefolia</t>
  </si>
  <si>
    <t>Wisteria Floribunda</t>
  </si>
  <si>
    <t>Solanum jasminoides</t>
  </si>
  <si>
    <t>Ipomea indica</t>
  </si>
  <si>
    <t>Campsis</t>
  </si>
  <si>
    <t>Tecoma capensis</t>
  </si>
  <si>
    <t>Citrus aurantium</t>
  </si>
  <si>
    <t>Laurus nobilis</t>
  </si>
  <si>
    <t>Artemisia vulgaris</t>
  </si>
  <si>
    <t>Menthe sp</t>
  </si>
  <si>
    <t>Origanum majorana</t>
  </si>
  <si>
    <t>Oncimum basilicum</t>
  </si>
  <si>
    <t>Thymus officinalis</t>
  </si>
  <si>
    <t>Rosmarinus officinalis</t>
  </si>
  <si>
    <t>Salvia officinalis</t>
  </si>
  <si>
    <t>Verbena Officinalis</t>
  </si>
  <si>
    <t>Lavandula Officinalis</t>
  </si>
  <si>
    <t>Thuya orientalis</t>
  </si>
  <si>
    <t xml:space="preserve">Cordyline australis
</t>
  </si>
  <si>
    <t xml:space="preserve">Cordyline indivisa
</t>
  </si>
  <si>
    <t xml:space="preserve">Callistemon laevis
</t>
  </si>
  <si>
    <t xml:space="preserve">Callistemon citrinus
</t>
  </si>
  <si>
    <t xml:space="preserve">Cestrum nocturmum
</t>
  </si>
  <si>
    <t xml:space="preserve">Dracaena draco
</t>
  </si>
  <si>
    <t xml:space="preserve">Ilex aquifolium
</t>
  </si>
  <si>
    <t xml:space="preserve">Grevillea 'Fire Works'
</t>
  </si>
  <si>
    <t xml:space="preserve">Ligustrum japonica
</t>
  </si>
  <si>
    <t xml:space="preserve">Metrosideros  Thomasii
</t>
  </si>
  <si>
    <t xml:space="preserve">Tecoma stans
</t>
  </si>
  <si>
    <t xml:space="preserve">Teucrium fruticans
</t>
  </si>
  <si>
    <t>Phormium tenax 'Purpureum'</t>
  </si>
  <si>
    <t xml:space="preserve">Phormium tenax </t>
  </si>
  <si>
    <t xml:space="preserve">Plumbago capensis
</t>
  </si>
  <si>
    <t xml:space="preserve">Westringia fructicosa
</t>
  </si>
  <si>
    <t xml:space="preserve">Phylotachys bissetti
</t>
  </si>
  <si>
    <t xml:space="preserve">Beaucarnea recurvata
</t>
  </si>
  <si>
    <t xml:space="preserve">Ilex aquifolium (sur tige)
</t>
  </si>
  <si>
    <t xml:space="preserve">Philodendron selloum
</t>
  </si>
  <si>
    <t xml:space="preserve">Cyperus Papyrus
</t>
  </si>
  <si>
    <t>Polygala mytrofolia</t>
  </si>
  <si>
    <t xml:space="preserve">Juniperus horizontalis
</t>
  </si>
  <si>
    <t xml:space="preserve">Photinia red robin
</t>
  </si>
  <si>
    <t xml:space="preserve">Nerium oleander
</t>
  </si>
  <si>
    <t xml:space="preserve">Pittosporum nanum
</t>
  </si>
  <si>
    <t>Elaeagnus ebbingei</t>
  </si>
  <si>
    <t xml:space="preserve">Vibernum tinus
</t>
  </si>
  <si>
    <t xml:space="preserve">Cupressus macrocarpa Goldcrest
</t>
  </si>
  <si>
    <t>Eugenia myrtifolia</t>
  </si>
  <si>
    <t>Eugenia etnafire</t>
  </si>
  <si>
    <t>Pittosporum tobira</t>
  </si>
  <si>
    <t>Arbutus unedo</t>
  </si>
  <si>
    <t xml:space="preserve">Vitex trifolia
</t>
  </si>
  <si>
    <t>Euonymus japonicus</t>
  </si>
  <si>
    <t>Duranata plumerii</t>
  </si>
  <si>
    <t>Mimosa dealbata</t>
  </si>
  <si>
    <t>Carissa microcarpa</t>
  </si>
  <si>
    <t>Carissa macrocarpa</t>
  </si>
  <si>
    <t>Rhaphiolepis</t>
  </si>
  <si>
    <t>Zamioculcas zamiifolia</t>
  </si>
  <si>
    <t xml:space="preserve">Buxus sempervirens </t>
  </si>
  <si>
    <t xml:space="preserve">Erythrina </t>
  </si>
  <si>
    <t>Myrtus communis</t>
  </si>
  <si>
    <t>p</t>
  </si>
  <si>
    <t>Agave parviflora</t>
  </si>
  <si>
    <t>Agave tumi</t>
  </si>
  <si>
    <t>Agave tequilana</t>
  </si>
  <si>
    <t>Agave americana 'Marginata'</t>
  </si>
  <si>
    <t>Agave stricta</t>
  </si>
  <si>
    <t>Agave parryi</t>
  </si>
  <si>
    <t>Agave victoria-regina</t>
  </si>
  <si>
    <t>Yucca filamentosa</t>
  </si>
  <si>
    <t>Yucca gloriosa variegata</t>
  </si>
  <si>
    <t>Yucca rustrata</t>
  </si>
  <si>
    <t>Euphorbia trigona</t>
  </si>
  <si>
    <t>Euphorbia trigona rubra</t>
  </si>
  <si>
    <t>Euphorbia milii</t>
  </si>
  <si>
    <t>Euphorbia burmannii</t>
  </si>
  <si>
    <t>Cleistocactus straussii</t>
  </si>
  <si>
    <t>Cereus peruvianus cristata</t>
  </si>
  <si>
    <t>Cereus peruvianus</t>
  </si>
  <si>
    <t>Pachycereus marginatus</t>
  </si>
  <si>
    <t>Cereus validus</t>
  </si>
  <si>
    <t>Cereus fernambucensis</t>
  </si>
  <si>
    <t>Cereus forbesii</t>
  </si>
  <si>
    <t>Aloe aristata</t>
  </si>
  <si>
    <t>Haworthia fasciata</t>
  </si>
  <si>
    <t>Kalanchoe blossfeldiana</t>
  </si>
  <si>
    <t>Kalanchoe tomentosa</t>
  </si>
  <si>
    <t>Kalanchoe longiflora</t>
  </si>
  <si>
    <t>Kalanchoe robusta</t>
  </si>
  <si>
    <t>Kalanchoe luciae</t>
  </si>
  <si>
    <t>Crassula ovata</t>
  </si>
  <si>
    <t>Crassula argentea</t>
  </si>
  <si>
    <t>Crassula elegans</t>
  </si>
  <si>
    <t>Crassula multicava</t>
  </si>
  <si>
    <t>Crassula tetragona</t>
  </si>
  <si>
    <t>Opuntia ficus indica</t>
  </si>
  <si>
    <t>Opuntia microdasys</t>
  </si>
  <si>
    <t>Opuntia microdasys albispina</t>
  </si>
  <si>
    <t>Opuntia rufida</t>
  </si>
  <si>
    <t>Opuntia stricta</t>
  </si>
  <si>
    <t>Echeveria gibbiflora</t>
  </si>
  <si>
    <t>Echeveria setosa </t>
  </si>
  <si>
    <t>Aloe maculata</t>
  </si>
  <si>
    <t>Sedum album</t>
  </si>
  <si>
    <t>Crassula rupestris</t>
  </si>
  <si>
    <t>Crassula sarcocaulis</t>
  </si>
  <si>
    <t>Echeveria prolifica</t>
  </si>
  <si>
    <t>Echinocactus grusonii </t>
  </si>
  <si>
    <t>Gasteria brachyphylla</t>
  </si>
  <si>
    <t>Sedum adolphi</t>
  </si>
  <si>
    <t>Sedum allantoides</t>
  </si>
  <si>
    <t>Senecio citriformis</t>
  </si>
  <si>
    <t>Senecio ficoides</t>
  </si>
  <si>
    <t>Haworthia glabrata</t>
  </si>
  <si>
    <t>Haworthia maxima</t>
  </si>
  <si>
    <t>Dasylirion longissimum</t>
  </si>
  <si>
    <t>Dasylirion serratifolium</t>
  </si>
  <si>
    <t>Dasylirion texanum</t>
  </si>
  <si>
    <t>Jasminum sambac</t>
  </si>
  <si>
    <t xml:space="preserve">Jasminum grandiflorum </t>
  </si>
  <si>
    <t>Aeonium arboreum</t>
  </si>
  <si>
    <t>Aeonium canariense</t>
  </si>
  <si>
    <t>Aeonium 'Green Ballerina'</t>
  </si>
  <si>
    <t>Aeonium 'Kiwi'</t>
  </si>
  <si>
    <t>INSTALLATION DU MUR VEGETAL NATUREL</t>
  </si>
  <si>
    <r>
      <t>Euphorbia Tirucalli</t>
    </r>
    <r>
      <rPr>
        <sz val="13"/>
        <rFont val="MyriadPro-Light"/>
      </rPr>
      <t> </t>
    </r>
  </si>
  <si>
    <t xml:space="preserve">Citrus Limon </t>
  </si>
  <si>
    <t xml:space="preserve">Citrus sinensis </t>
  </si>
  <si>
    <t>Citrus maxima</t>
  </si>
  <si>
    <t>Prunus dulcis</t>
  </si>
  <si>
    <t>Cerasus</t>
  </si>
  <si>
    <t>Prunus persica var. nucipersica</t>
  </si>
  <si>
    <t>Prunus persica</t>
  </si>
  <si>
    <t>Pyrus communis</t>
  </si>
  <si>
    <t>Malus</t>
  </si>
  <si>
    <t>Prunus domestica</t>
  </si>
  <si>
    <t>Ficus carica</t>
  </si>
  <si>
    <t>Prunus armeniaca</t>
  </si>
  <si>
    <t>Pennisetum villosum</t>
  </si>
  <si>
    <t>Pennisetum setaceum Rubrum</t>
  </si>
  <si>
    <t>Pennisetum Alopecuroides</t>
  </si>
  <si>
    <t xml:space="preserve">Cortaderia selloana </t>
  </si>
  <si>
    <t>Festuca gautieri</t>
  </si>
  <si>
    <t>Festuca mairei</t>
  </si>
  <si>
    <t>Stipa tenuifolia</t>
  </si>
  <si>
    <t>Sorghum halepense</t>
  </si>
  <si>
    <t>Miscanthus Sinensis</t>
  </si>
  <si>
    <t>gazania rigens</t>
  </si>
  <si>
    <t>anthémis nobilis</t>
  </si>
  <si>
    <t>anthémis jaune</t>
  </si>
  <si>
    <t>Antirrhinum majus</t>
  </si>
  <si>
    <t>Zinnia</t>
  </si>
  <si>
    <t>Salvia splendens</t>
  </si>
  <si>
    <t>Tropaeolum majus</t>
  </si>
  <si>
    <t>Delphinium</t>
  </si>
  <si>
    <t>Dianthus chinensis</t>
  </si>
  <si>
    <t>Lathyrus odoratus</t>
  </si>
  <si>
    <t>Catharanthus roseus</t>
  </si>
  <si>
    <t>Alcea rosea</t>
  </si>
  <si>
    <t>Calendula officinalis</t>
  </si>
  <si>
    <t>Dahlia</t>
  </si>
  <si>
    <t>Verbena</t>
  </si>
  <si>
    <t>Callistephus chinensis</t>
  </si>
  <si>
    <t xml:space="preserve"> atkinsiana Surfinia </t>
  </si>
  <si>
    <t>Calibrachoa</t>
  </si>
  <si>
    <t>Projet  :</t>
  </si>
  <si>
    <t>Référence projet :</t>
  </si>
  <si>
    <t>Prix (DT)</t>
  </si>
  <si>
    <t xml:space="preserve">Localisation : </t>
  </si>
  <si>
    <t>Client :</t>
  </si>
  <si>
    <t>FOR-CO-02</t>
  </si>
  <si>
    <t>TOTAL PARTIEL I.</t>
  </si>
  <si>
    <t xml:space="preserve">Conique </t>
  </si>
  <si>
    <t>Rectangulaire</t>
  </si>
  <si>
    <t>TOTAL PARTIEL II.</t>
  </si>
  <si>
    <t xml:space="preserve">TOTAL PARTIEL I. </t>
  </si>
  <si>
    <t xml:space="preserve">TOTAL PARTIEL II. </t>
  </si>
  <si>
    <t>Arrêté le présent devis à la somme T.T.C de : ........................................................................................................................ Dinars, ........................ Millimes</t>
  </si>
  <si>
    <t xml:space="preserve">Offre valable pour : .............. JOURS </t>
  </si>
  <si>
    <t xml:space="preserve">Modalités de paiement : </t>
  </si>
  <si>
    <t>Pinus halepensis</t>
  </si>
  <si>
    <t>Schefflera</t>
  </si>
  <si>
    <t>Schinus terebinthifolius</t>
  </si>
  <si>
    <t>Schinus molle</t>
  </si>
  <si>
    <t>Bonsai</t>
  </si>
  <si>
    <t>Ficus bonsai</t>
  </si>
  <si>
    <t>Olivier bonsai</t>
  </si>
  <si>
    <t>Cupressus pompon</t>
  </si>
  <si>
    <r>
      <rPr>
        <b/>
        <u/>
        <sz val="11"/>
        <rFont val="Arial"/>
        <family val="2"/>
      </rPr>
      <t>Décapage &amp; nettoyage du sol :</t>
    </r>
    <r>
      <rPr>
        <sz val="11"/>
        <rFont val="Arial"/>
        <family val="2"/>
      </rPr>
      <t xml:space="preserve">
</t>
    </r>
    <r>
      <rPr>
        <sz val="10"/>
        <rFont val="Arial"/>
        <family val="2"/>
      </rPr>
      <t>L’opération consiste à effectuer un ameublissement du sol naturel avant l’étalage de la terre végétale moyennant un décapage de 0 à 30 cm de profondeur dans toutes les zones à planter, y compris le ramassage des déchets et des détritus et leur évacuation.</t>
    </r>
  </si>
  <si>
    <r>
      <rPr>
        <b/>
        <u/>
        <sz val="11"/>
        <rFont val="Arial"/>
        <family val="2"/>
      </rPr>
      <t>Fourniture et pose de la terre végétale :</t>
    </r>
    <r>
      <rPr>
        <sz val="11"/>
        <rFont val="Arial"/>
        <family val="2"/>
      </rPr>
      <t xml:space="preserve">
</t>
    </r>
    <r>
      <rPr>
        <sz val="10"/>
        <rFont val="Arial"/>
        <family val="2"/>
      </rPr>
      <t xml:space="preserve">L’opération consiste à la fourniture de la terre végétale de bonne qualité et l’étalage dans les zones à planter sur une épaisseur de 20 cm, compactage léger jusqu’au niveau de 5 cm en dessous du niveau supérieur des bordures après arrosage.
</t>
    </r>
  </si>
  <si>
    <t xml:space="preserve">Buxus microphylla faulkner
</t>
  </si>
  <si>
    <t>Chèvrefeuille</t>
  </si>
  <si>
    <t>Dodonaea viscosa purperea</t>
  </si>
  <si>
    <t xml:space="preserve">Dodonaea viscosa
</t>
  </si>
  <si>
    <t xml:space="preserve">Strelitzia augusta
</t>
  </si>
  <si>
    <t xml:space="preserve">Strelitzia reginae
</t>
  </si>
  <si>
    <t>Stipa tenuissima</t>
  </si>
  <si>
    <t>Carex halleriana</t>
  </si>
  <si>
    <t>Carex flacca</t>
  </si>
  <si>
    <t>Carex pendula</t>
  </si>
  <si>
    <t>Carex buchananii</t>
  </si>
  <si>
    <t>Carex comans bronze</t>
  </si>
  <si>
    <t>Carex testacea</t>
  </si>
  <si>
    <t>Petunia atkinsiana</t>
  </si>
  <si>
    <t>Argile expansée</t>
  </si>
  <si>
    <t xml:space="preserve">L'opération consiste à l'installation d'un écosystème vertical ou un noyau écologique servant à recouvrir les façades. Une paroi qui s'élève parallèlement aux murs du bâtiment à protéger. L'alimentation en eau et en matières nutritives se fait par un réseau situé en partie supérieure de la structure. La solution nutritive s'écoule le long du mur par gravité et s'infiltre dans le feutre par capillarité,                                                           La plantation se fait facilement en incisant au cutter le feutre et en y implantant la micro-motte avec le plant.
</t>
  </si>
  <si>
    <r>
      <rPr>
        <b/>
        <u/>
        <sz val="11"/>
        <rFont val="Arial"/>
        <family val="2"/>
      </rPr>
      <t xml:space="preserve">Amendements organiques : </t>
    </r>
    <r>
      <rPr>
        <sz val="11"/>
        <rFont val="Arial"/>
        <family val="2"/>
      </rPr>
      <t xml:space="preserve">
</t>
    </r>
    <r>
      <rPr>
        <sz val="10"/>
        <rFont val="Arial"/>
        <family val="2"/>
      </rPr>
      <t>Fourniture et épandage du composte organique bien décomposé y compris son enfouissement et son arrosage copieux. Il est incorporé d'une manière ponctuelle au niveau des trous de plantations des différentes plantes.</t>
    </r>
  </si>
  <si>
    <r>
      <t xml:space="preserve">Amendement minéral:
</t>
    </r>
    <r>
      <rPr>
        <sz val="10"/>
        <rFont val="Arial"/>
        <family val="2"/>
      </rPr>
      <t>L'opération consiste à la fourniture et l'épandage des engrais chimiques de fond (DAP : Diammonium phosphaté et sulfate de potasse super 50%).
Il est incorporé au niveau des trous de plantation des différentes plantes.</t>
    </r>
  </si>
  <si>
    <r>
      <rPr>
        <b/>
        <u/>
        <sz val="11"/>
        <rFont val="Arial"/>
        <family val="2"/>
      </rPr>
      <t>Travaux de plantation:</t>
    </r>
    <r>
      <rPr>
        <b/>
        <sz val="11"/>
        <rFont val="Arial"/>
        <family val="2"/>
      </rPr>
      <t xml:space="preserve">  </t>
    </r>
    <r>
      <rPr>
        <b/>
        <sz val="10"/>
        <rFont val="Arial"/>
        <family val="2"/>
      </rPr>
      <t xml:space="preserve">  </t>
    </r>
    <r>
      <rPr>
        <sz val="10"/>
        <rFont val="Arial"/>
        <family val="2"/>
      </rPr>
      <t xml:space="preserve">                             L’opération comprend le creusage des trous de plantation, la mise en place des tuteurs et haubans pour la fixation des arbres contre les vents violents, la plantation proprement dite, l’amendement organique et minéral, la confection des cuvettes d’arrosage et tous les soins culturaux.</t>
    </r>
  </si>
  <si>
    <r>
      <rPr>
        <b/>
        <u/>
        <sz val="11"/>
        <rFont val="Arial"/>
        <family val="2"/>
      </rPr>
      <t>Installation du système d'arrosage :</t>
    </r>
    <r>
      <rPr>
        <sz val="11"/>
        <rFont val="Arial"/>
        <family val="2"/>
      </rPr>
      <t xml:space="preserve"> 
</t>
    </r>
    <r>
      <rPr>
        <sz val="10"/>
        <rFont val="Arial"/>
        <family val="2"/>
      </rPr>
      <t>L'opération désigne les systèmes permettant de fournir de l'eau à des plantes en routine durant un certain temps sans intervention humaine, plutôt par aspersion, mais il peut s'agir de système de type "goutte-à-goutte". 
Ces systèmes d'arrosage peuvent être pilotés localement ou à distance et de manière plus ou moins automatisée.</t>
    </r>
  </si>
  <si>
    <t>L'opération consiste à l'installation du mur végétal stabilisé sous forme de panels de lichen stabilisé qui s’assemblent au mur très facilement, sans percer ni clouer. Le mur végétal stabilisé ne vous demande aucun entretien, aucune lumière,un isolant acoustique, permettent de filtrer et purifier l’air ambiant et la poussière n’accroche pas au mur végétal grâce à ses propriétés antistatiques. Sa durée de vie peut atteindre 5 à 10 ans. Toutes les tailles de mur végétal sont envisageables .</t>
  </si>
  <si>
    <t>L'opération consiste à ajouter des plantes, de l'herbe et des fougères préservées à votre tableau EN MOUSSE, le tout étant conçu en fonction de vos exigences personnelles, ce qui, combiné à un éclairage intelligent, produit un effet particulièrement impressionnant. sont des points forts stylés, par exemple lors de foires, de salons de beauté et de magasins, dans des espaces de bien-être ou de restauration, ou en tant qu’œuvres plus grandes que nature pour les salles d’exposition.</t>
  </si>
  <si>
    <t xml:space="preserve">
BORDEREAU DES PRIX 
</t>
  </si>
  <si>
    <t>50% lors de la confirmation</t>
  </si>
  <si>
    <t>30% pendant les travaux</t>
  </si>
  <si>
    <t>20% à la fin du chantier</t>
  </si>
  <si>
    <t xml:space="preserve">TOTAL GENERAL = TOTAL PARTIEL I. + TOTAL PARTIEL II. </t>
  </si>
</sst>
</file>

<file path=xl/styles.xml><?xml version="1.0" encoding="utf-8"?>
<styleSheet xmlns="http://schemas.openxmlformats.org/spreadsheetml/2006/main">
  <numFmts count="2">
    <numFmt numFmtId="164" formatCode="#,##0.000"/>
    <numFmt numFmtId="165" formatCode="#,##0.0"/>
  </numFmts>
  <fonts count="14">
    <font>
      <sz val="10"/>
      <name val="Arial"/>
    </font>
    <font>
      <sz val="11"/>
      <name val="Arial"/>
      <family val="2"/>
    </font>
    <font>
      <b/>
      <sz val="11"/>
      <name val="Arial"/>
      <family val="2"/>
    </font>
    <font>
      <b/>
      <u/>
      <sz val="11"/>
      <name val="Arial"/>
      <family val="2"/>
    </font>
    <font>
      <b/>
      <sz val="12"/>
      <name val="Arial"/>
      <family val="2"/>
    </font>
    <font>
      <sz val="10"/>
      <name val="Arial"/>
      <family val="2"/>
    </font>
    <font>
      <b/>
      <sz val="16"/>
      <name val="Arial"/>
      <family val="2"/>
    </font>
    <font>
      <sz val="8"/>
      <name val="Arial"/>
      <family val="2"/>
    </font>
    <font>
      <b/>
      <sz val="18"/>
      <name val="Arial"/>
      <family val="2"/>
    </font>
    <font>
      <b/>
      <sz val="10"/>
      <name val="Arial"/>
      <family val="2"/>
    </font>
    <font>
      <b/>
      <u/>
      <sz val="14"/>
      <name val="Arial"/>
      <family val="2"/>
    </font>
    <font>
      <sz val="13"/>
      <name val="MyriadPro-Light"/>
    </font>
    <font>
      <b/>
      <sz val="14"/>
      <name val="Arial"/>
      <family val="2"/>
    </font>
    <font>
      <sz val="10"/>
      <color rgb="FF000000"/>
      <name val="Tajawal"/>
    </font>
  </fonts>
  <fills count="8">
    <fill>
      <patternFill patternType="none"/>
    </fill>
    <fill>
      <patternFill patternType="gray125"/>
    </fill>
    <fill>
      <patternFill patternType="solid">
        <fgColor indexed="9"/>
        <bgColor indexed="64"/>
      </patternFill>
    </fill>
    <fill>
      <patternFill patternType="solid">
        <fgColor theme="6" tint="0.59999389629810485"/>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68">
    <xf numFmtId="0" fontId="0" fillId="0" borderId="0" xfId="0"/>
    <xf numFmtId="0" fontId="2" fillId="0" borderId="0" xfId="0" applyFont="1" applyBorder="1" applyAlignment="1">
      <alignment vertical="center"/>
    </xf>
    <xf numFmtId="0" fontId="1" fillId="0" borderId="0" xfId="0" applyFont="1" applyBorder="1" applyAlignment="1">
      <alignment vertical="center"/>
    </xf>
    <xf numFmtId="0" fontId="2" fillId="0" borderId="0" xfId="0" applyFont="1" applyBorder="1" applyAlignment="1">
      <alignment horizontal="center" vertical="center"/>
    </xf>
    <xf numFmtId="0" fontId="5" fillId="0" borderId="0" xfId="0" applyFont="1" applyBorder="1" applyAlignment="1">
      <alignment vertical="center"/>
    </xf>
    <xf numFmtId="0" fontId="1" fillId="0" borderId="0" xfId="0" applyFont="1" applyBorder="1" applyAlignment="1">
      <alignment horizontal="center" vertical="center"/>
    </xf>
    <xf numFmtId="164" fontId="1" fillId="0" borderId="0" xfId="0" applyNumberFormat="1" applyFont="1" applyBorder="1" applyAlignment="1">
      <alignment vertical="center"/>
    </xf>
    <xf numFmtId="3" fontId="1" fillId="0" borderId="0" xfId="0" applyNumberFormat="1" applyFont="1" applyBorder="1" applyAlignment="1">
      <alignment vertical="center"/>
    </xf>
    <xf numFmtId="0" fontId="2" fillId="0" borderId="1" xfId="0" applyFont="1" applyBorder="1" applyAlignment="1">
      <alignment horizontal="center" vertical="center" wrapText="1"/>
    </xf>
    <xf numFmtId="0" fontId="3" fillId="0" borderId="1" xfId="0" applyFont="1" applyBorder="1" applyAlignment="1">
      <alignment vertical="center" wrapText="1"/>
    </xf>
    <xf numFmtId="0" fontId="5" fillId="0" borderId="1" xfId="0" applyFont="1" applyBorder="1" applyAlignment="1">
      <alignment horizontal="center" vertical="center" wrapText="1"/>
    </xf>
    <xf numFmtId="3" fontId="5" fillId="0" borderId="1"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1" fillId="0" borderId="1" xfId="0" applyFont="1" applyBorder="1" applyAlignment="1">
      <alignment horizontal="left" vertical="center" wrapText="1"/>
    </xf>
    <xf numFmtId="0" fontId="2" fillId="3" borderId="1" xfId="0" applyFont="1" applyFill="1" applyBorder="1" applyAlignment="1">
      <alignment horizontal="center" vertical="center" wrapText="1"/>
    </xf>
    <xf numFmtId="0" fontId="3" fillId="3" borderId="1" xfId="0" applyFont="1" applyFill="1" applyBorder="1" applyAlignment="1">
      <alignment vertical="center" wrapText="1"/>
    </xf>
    <xf numFmtId="164" fontId="4" fillId="4" borderId="1" xfId="0" applyNumberFormat="1" applyFont="1" applyFill="1" applyBorder="1" applyAlignment="1">
      <alignment horizontal="center" vertical="center" wrapText="1"/>
    </xf>
    <xf numFmtId="0" fontId="4" fillId="3" borderId="1" xfId="0" applyFont="1" applyFill="1" applyBorder="1" applyAlignment="1">
      <alignment horizontal="left" vertical="center"/>
    </xf>
    <xf numFmtId="0" fontId="2" fillId="6" borderId="1" xfId="0" applyFont="1" applyFill="1" applyBorder="1" applyAlignment="1">
      <alignment horizontal="center" vertical="center" wrapText="1"/>
    </xf>
    <xf numFmtId="0" fontId="3" fillId="6" borderId="1" xfId="0" applyFont="1" applyFill="1" applyBorder="1" applyAlignment="1">
      <alignment horizontal="center" vertical="center" wrapText="1"/>
    </xf>
    <xf numFmtId="164" fontId="12" fillId="0" borderId="1" xfId="0" applyNumberFormat="1" applyFont="1" applyBorder="1" applyAlignment="1">
      <alignment horizontal="centerContinuous" vertical="center"/>
    </xf>
    <xf numFmtId="0" fontId="12" fillId="0" borderId="1" xfId="0" applyNumberFormat="1" applyFont="1" applyBorder="1" applyAlignment="1">
      <alignment horizontal="centerContinuous" vertical="center"/>
    </xf>
    <xf numFmtId="165" fontId="5" fillId="0" borderId="1" xfId="0" applyNumberFormat="1" applyFont="1" applyBorder="1" applyAlignment="1">
      <alignment horizontal="center" vertical="center" wrapText="1"/>
    </xf>
    <xf numFmtId="0" fontId="1" fillId="7" borderId="1" xfId="0" applyFont="1" applyFill="1" applyBorder="1" applyAlignment="1">
      <alignment vertical="center" wrapText="1"/>
    </xf>
    <xf numFmtId="0" fontId="5" fillId="7" borderId="1" xfId="0" applyFont="1" applyFill="1" applyBorder="1" applyAlignment="1">
      <alignment horizontal="center" vertical="center" wrapText="1"/>
    </xf>
    <xf numFmtId="3" fontId="5" fillId="7" borderId="1" xfId="0" applyNumberFormat="1" applyFont="1" applyFill="1" applyBorder="1" applyAlignment="1">
      <alignment vertical="center" wrapText="1"/>
    </xf>
    <xf numFmtId="164" fontId="5" fillId="7" borderId="1" xfId="0" applyNumberFormat="1" applyFont="1" applyFill="1" applyBorder="1" applyAlignment="1">
      <alignment vertical="center" wrapText="1"/>
    </xf>
    <xf numFmtId="0" fontId="2" fillId="2" borderId="1" xfId="0" applyFont="1" applyFill="1" applyBorder="1" applyAlignment="1">
      <alignment horizontal="center" vertical="center" wrapText="1"/>
    </xf>
    <xf numFmtId="0" fontId="1" fillId="7" borderId="1" xfId="0" applyFont="1" applyFill="1" applyBorder="1" applyAlignment="1">
      <alignment horizontal="left" vertical="center" wrapText="1"/>
    </xf>
    <xf numFmtId="0" fontId="1" fillId="0" borderId="1" xfId="0" applyFont="1" applyBorder="1" applyAlignment="1">
      <alignment horizontal="center" vertical="center" wrapText="1"/>
    </xf>
    <xf numFmtId="0" fontId="5" fillId="7" borderId="1" xfId="0" applyFont="1" applyFill="1" applyBorder="1" applyAlignment="1">
      <alignment horizontal="left" vertical="center" wrapText="1"/>
    </xf>
    <xf numFmtId="0" fontId="5" fillId="0" borderId="1" xfId="0" applyFont="1" applyBorder="1" applyAlignment="1">
      <alignment horizontal="left" vertical="center" wrapText="1"/>
    </xf>
    <xf numFmtId="0" fontId="1" fillId="0" borderId="1" xfId="0" applyFont="1" applyBorder="1" applyAlignment="1">
      <alignment vertical="center" wrapText="1"/>
    </xf>
    <xf numFmtId="0" fontId="13" fillId="0" borderId="1" xfId="0" applyFont="1" applyBorder="1" applyAlignment="1">
      <alignment vertical="top" wrapText="1"/>
    </xf>
    <xf numFmtId="14" fontId="5" fillId="0" borderId="1" xfId="0" applyNumberFormat="1" applyFont="1" applyBorder="1" applyAlignment="1">
      <alignment horizontal="center" vertical="center" wrapText="1"/>
    </xf>
    <xf numFmtId="0" fontId="2" fillId="5"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5" fillId="0" borderId="1" xfId="0" applyFont="1" applyBorder="1" applyAlignment="1">
      <alignment horizontal="left" vertical="center" wrapText="1"/>
    </xf>
    <xf numFmtId="0" fontId="2" fillId="0" borderId="2" xfId="0" applyFont="1" applyBorder="1" applyAlignment="1">
      <alignment horizontal="left" vertical="center"/>
    </xf>
    <xf numFmtId="0" fontId="2" fillId="0" borderId="3" xfId="0" applyFont="1" applyBorder="1" applyAlignment="1">
      <alignment horizontal="left" vertical="center"/>
    </xf>
    <xf numFmtId="0" fontId="2" fillId="0" borderId="4" xfId="0" applyFont="1" applyBorder="1" applyAlignment="1">
      <alignment horizontal="left" vertical="center"/>
    </xf>
    <xf numFmtId="164" fontId="2" fillId="0" borderId="1" xfId="0" applyNumberFormat="1" applyFont="1" applyBorder="1" applyAlignment="1">
      <alignment horizontal="center" vertical="center" wrapText="1"/>
    </xf>
    <xf numFmtId="0" fontId="1" fillId="0" borderId="1" xfId="0" applyFont="1" applyBorder="1" applyAlignment="1">
      <alignment horizontal="left" vertical="center" wrapText="1"/>
    </xf>
    <xf numFmtId="0" fontId="5" fillId="0" borderId="1" xfId="0" applyFont="1" applyBorder="1" applyAlignment="1">
      <alignment horizontal="center" vertical="center" wrapText="1"/>
    </xf>
    <xf numFmtId="0" fontId="2" fillId="6" borderId="1" xfId="0" applyFont="1" applyFill="1" applyBorder="1" applyAlignment="1">
      <alignment horizontal="center" vertical="center" wrapText="1"/>
    </xf>
    <xf numFmtId="164" fontId="4" fillId="4" borderId="1" xfId="0" applyNumberFormat="1" applyFont="1" applyFill="1" applyBorder="1" applyAlignment="1">
      <alignment horizontal="center" vertical="center" wrapText="1"/>
    </xf>
    <xf numFmtId="0" fontId="6" fillId="0" borderId="1" xfId="0" applyFont="1" applyBorder="1" applyAlignment="1">
      <alignment horizontal="center" vertical="center"/>
    </xf>
    <xf numFmtId="0" fontId="4" fillId="3" borderId="1" xfId="0" applyFont="1" applyFill="1" applyBorder="1" applyAlignment="1">
      <alignment horizontal="left" vertical="center"/>
    </xf>
    <xf numFmtId="0" fontId="4" fillId="4" borderId="1" xfId="0" applyFont="1" applyFill="1" applyBorder="1" applyAlignment="1">
      <alignment horizontal="center" vertical="center" wrapText="1"/>
    </xf>
    <xf numFmtId="3" fontId="4" fillId="4" borderId="1" xfId="0" applyNumberFormat="1" applyFont="1" applyFill="1" applyBorder="1" applyAlignment="1">
      <alignment horizontal="center" vertical="center" wrapText="1"/>
    </xf>
    <xf numFmtId="164" fontId="1" fillId="3" borderId="1" xfId="0" applyNumberFormat="1" applyFont="1" applyFill="1" applyBorder="1" applyAlignment="1">
      <alignment horizontal="center" vertical="center" wrapText="1"/>
    </xf>
    <xf numFmtId="164" fontId="5" fillId="0" borderId="1" xfId="0" applyNumberFormat="1" applyFont="1" applyBorder="1" applyAlignment="1">
      <alignment horizontal="center" vertical="center" wrapText="1"/>
    </xf>
    <xf numFmtId="3" fontId="5" fillId="0" borderId="1" xfId="0" applyNumberFormat="1" applyFont="1" applyBorder="1" applyAlignment="1">
      <alignment horizontal="center" vertical="center" wrapText="1"/>
    </xf>
    <xf numFmtId="0" fontId="10" fillId="6" borderId="1" xfId="0" applyFont="1" applyFill="1" applyBorder="1" applyAlignment="1">
      <alignment horizontal="center" vertical="center" wrapText="1"/>
    </xf>
    <xf numFmtId="0" fontId="2" fillId="5" borderId="2"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2" fillId="5" borderId="4" xfId="0" applyFont="1" applyFill="1" applyBorder="1" applyAlignment="1">
      <alignment horizontal="center" vertical="center" wrapText="1"/>
    </xf>
    <xf numFmtId="0" fontId="3" fillId="6" borderId="1" xfId="0" applyFont="1" applyFill="1" applyBorder="1" applyAlignment="1">
      <alignment horizontal="center" vertical="center" wrapText="1"/>
    </xf>
    <xf numFmtId="0" fontId="3" fillId="3" borderId="1" xfId="0" applyFont="1" applyFill="1" applyBorder="1" applyAlignment="1">
      <alignment horizontal="center" vertical="center"/>
    </xf>
    <xf numFmtId="0" fontId="8" fillId="0" borderId="5" xfId="0" applyFont="1" applyBorder="1" applyAlignment="1">
      <alignment horizontal="center" vertical="center" wrapText="1"/>
    </xf>
    <xf numFmtId="0" fontId="8" fillId="0" borderId="6" xfId="0" applyFont="1" applyBorder="1" applyAlignment="1">
      <alignment horizontal="center" vertical="center" wrapText="1"/>
    </xf>
    <xf numFmtId="0" fontId="8" fillId="0" borderId="7" xfId="0" applyFont="1" applyBorder="1" applyAlignment="1">
      <alignment horizontal="center" vertical="center" wrapText="1"/>
    </xf>
    <xf numFmtId="0" fontId="8" fillId="0" borderId="8" xfId="0" applyFont="1" applyBorder="1" applyAlignment="1">
      <alignment horizontal="center" vertical="center" wrapText="1"/>
    </xf>
    <xf numFmtId="0" fontId="8" fillId="0" borderId="9" xfId="0" applyFont="1" applyBorder="1" applyAlignment="1">
      <alignment horizontal="center" vertical="center" wrapText="1"/>
    </xf>
    <xf numFmtId="0" fontId="8" fillId="0" borderId="10" xfId="0" applyFont="1" applyBorder="1" applyAlignment="1">
      <alignment horizontal="center" vertical="center" wrapText="1"/>
    </xf>
    <xf numFmtId="0" fontId="2" fillId="0" borderId="2" xfId="0" applyFont="1" applyBorder="1" applyAlignment="1">
      <alignment horizontal="left" vertical="center" wrapText="1"/>
    </xf>
    <xf numFmtId="0" fontId="2" fillId="0" borderId="3" xfId="0" applyFont="1" applyBorder="1" applyAlignment="1">
      <alignment horizontal="left" vertical="center" wrapText="1"/>
    </xf>
    <xf numFmtId="0" fontId="2" fillId="0" borderId="4" xfId="0" applyFont="1" applyBorder="1" applyAlignment="1">
      <alignment horizontal="left" vertical="center"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161925</xdr:colOff>
      <xdr:row>0</xdr:row>
      <xdr:rowOff>148309</xdr:rowOff>
    </xdr:from>
    <xdr:to>
      <xdr:col>0</xdr:col>
      <xdr:colOff>1133475</xdr:colOff>
      <xdr:row>1</xdr:row>
      <xdr:rowOff>442240</xdr:rowOff>
    </xdr:to>
    <xdr:pic>
      <xdr:nvPicPr>
        <xdr:cNvPr id="1090" name="Image 1" descr="logo sopat.png"/>
        <xdr:cNvPicPr>
          <a:picLocks noChangeAspect="1"/>
        </xdr:cNvPicPr>
      </xdr:nvPicPr>
      <xdr:blipFill>
        <a:blip xmlns:r="http://schemas.openxmlformats.org/officeDocument/2006/relationships" r:embed="rId1" cstate="print"/>
        <a:stretch>
          <a:fillRect/>
        </a:stretch>
      </xdr:blipFill>
      <xdr:spPr bwMode="auto">
        <a:xfrm>
          <a:off x="161925" y="148309"/>
          <a:ext cx="971550" cy="779706"/>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kuentz.com/bt/index.php?module=produit&amp;prd_id=5999&amp;rw=haworthia-glabrata-viscosa&amp;code_cat=20&amp;page=24" TargetMode="External"/><Relationship Id="rId13" Type="http://schemas.openxmlformats.org/officeDocument/2006/relationships/hyperlink" Target="https://www.kuentz.com/bt/index.php?module=produit&amp;prd_id=984&amp;rw=aeonium-haworthii-kiwi-kiwionium&amp;code_cat=20&amp;page=1" TargetMode="External"/><Relationship Id="rId18" Type="http://schemas.openxmlformats.org/officeDocument/2006/relationships/drawing" Target="../drawings/drawing1.xml"/><Relationship Id="rId3" Type="http://schemas.openxmlformats.org/officeDocument/2006/relationships/hyperlink" Target="https://www.kuentz.com/bt/index.php?module=produit&amp;prd_id=1453&amp;rw=sedum-allantoides&amp;code_cat=20&amp;page=30" TargetMode="External"/><Relationship Id="rId7" Type="http://schemas.openxmlformats.org/officeDocument/2006/relationships/hyperlink" Target="https://www.kuentz.com/bt/index.php?module=produit&amp;prd_id=1310&amp;rw=haworthia-maxima-papillosa&amp;code_cat=20&amp;page=24" TargetMode="External"/><Relationship Id="rId12" Type="http://schemas.openxmlformats.org/officeDocument/2006/relationships/hyperlink" Target="https://www.kuentz.com/bt/index.php?module=produit&amp;prd_id=2159&amp;rw=crassula-rupestris-tom-thumb&amp;code_cat=20&amp;page=12" TargetMode="External"/><Relationship Id="rId17" Type="http://schemas.openxmlformats.org/officeDocument/2006/relationships/printerSettings" Target="../printerSettings/printerSettings1.bin"/><Relationship Id="rId2" Type="http://schemas.openxmlformats.org/officeDocument/2006/relationships/hyperlink" Target="https://www.kuentz.com/bt/index.php?module=produit&amp;prd_id=2302&amp;rw=senecio-citriformis-pusillus&amp;code_cat=20&amp;page=31" TargetMode="External"/><Relationship Id="rId16" Type="http://schemas.openxmlformats.org/officeDocument/2006/relationships/hyperlink" Target="https://www.cactuseros.com/Especie/39/Echinocactus_grusonii.html" TargetMode="External"/><Relationship Id="rId1" Type="http://schemas.openxmlformats.org/officeDocument/2006/relationships/hyperlink" Target="https://www.kuentz.com/bt/index.php?module=produit&amp;prd_id=2295&amp;rw=senecio-ficoides&amp;code_cat=20&amp;page=31" TargetMode="External"/><Relationship Id="rId6" Type="http://schemas.openxmlformats.org/officeDocument/2006/relationships/hyperlink" Target="https://www.kuentz.com/bt/index.php?module=produit&amp;prd_id=5999&amp;rw=haworthia-glabrata-viscosa&amp;code_cat=20&amp;page=24" TargetMode="External"/><Relationship Id="rId11" Type="http://schemas.openxmlformats.org/officeDocument/2006/relationships/hyperlink" Target="https://www.kuentz.com/bt/index.php?module=produit&amp;prd_id=14103&amp;rw=crassula-sarcocaulis&amp;code_cat=20&amp;page=12" TargetMode="External"/><Relationship Id="rId5" Type="http://schemas.openxmlformats.org/officeDocument/2006/relationships/hyperlink" Target="https://www.kuentz.com/bt/index.php?module=produit&amp;prd_id=1455&amp;rw=sedum-adolphi-nussbaumerianum&amp;code_cat=20&amp;page=30" TargetMode="External"/><Relationship Id="rId15" Type="http://schemas.openxmlformats.org/officeDocument/2006/relationships/hyperlink" Target="https://kissyfrott.com/Euphorbia-burmannii" TargetMode="External"/><Relationship Id="rId10" Type="http://schemas.openxmlformats.org/officeDocument/2006/relationships/hyperlink" Target="https://www.kuentz.com/bt/index.php?module=produit&amp;prd_id=13092&amp;rw=echeveria-prolifica&amp;code_cat=20&amp;page=15" TargetMode="External"/><Relationship Id="rId19" Type="http://schemas.openxmlformats.org/officeDocument/2006/relationships/image" Target="../media/image1.png"/><Relationship Id="rId4" Type="http://schemas.openxmlformats.org/officeDocument/2006/relationships/hyperlink" Target="https://www.kuentz.com/bt/index.php?module=produit&amp;prd_id=13953&amp;rw=sedum-album-laconicum&amp;code_cat=20&amp;page=30" TargetMode="External"/><Relationship Id="rId9" Type="http://schemas.openxmlformats.org/officeDocument/2006/relationships/hyperlink" Target="https://www.kuentz.com/bt/index.php?module=produit&amp;prd_id=5268&amp;rw=gasteria-brachyphylla-bayeri&amp;code_cat=20&amp;page=20" TargetMode="External"/><Relationship Id="rId14" Type="http://schemas.openxmlformats.org/officeDocument/2006/relationships/hyperlink" Target="https://www.google.com/search?sa=X&amp;biw=1584&amp;bih=687&amp;q=Kalanchoe+robusta&amp;tbm=isch&amp;source=univ&amp;ved=2ahUKEwj8mLjBpPzgAhXl6OAKHZOoC7QQsAR6BAgEEAE" TargetMode="External"/></Relationships>
</file>

<file path=xl/worksheets/sheet1.xml><?xml version="1.0" encoding="utf-8"?>
<worksheet xmlns="http://schemas.openxmlformats.org/spreadsheetml/2006/main" xmlns:r="http://schemas.openxmlformats.org/officeDocument/2006/relationships">
  <dimension ref="A1:G356"/>
  <sheetViews>
    <sheetView showGridLines="0" showZeros="0" tabSelected="1" view="pageBreakPreview" zoomScaleSheetLayoutView="100" workbookViewId="0">
      <selection activeCell="K7" sqref="K7"/>
    </sheetView>
  </sheetViews>
  <sheetFormatPr baseColWidth="10" defaultColWidth="8.28515625" defaultRowHeight="14.25"/>
  <cols>
    <col min="1" max="1" width="18.28515625" style="5" customWidth="1"/>
    <col min="2" max="2" width="44.7109375" style="2" customWidth="1"/>
    <col min="3" max="3" width="12" style="2" customWidth="1"/>
    <col min="4" max="4" width="9.42578125" style="2" customWidth="1"/>
    <col min="5" max="5" width="8.85546875" style="7" customWidth="1"/>
    <col min="6" max="7" width="15.28515625" style="6" customWidth="1"/>
    <col min="8" max="16384" width="8.28515625" style="2"/>
  </cols>
  <sheetData>
    <row r="1" spans="1:7" ht="38.25" customHeight="1">
      <c r="A1" s="46"/>
      <c r="B1" s="59" t="s">
        <v>366</v>
      </c>
      <c r="C1" s="60"/>
      <c r="D1" s="60"/>
      <c r="E1" s="60"/>
      <c r="F1" s="61"/>
      <c r="G1" s="20" t="s">
        <v>324</v>
      </c>
    </row>
    <row r="2" spans="1:7" ht="43.5" customHeight="1">
      <c r="A2" s="46"/>
      <c r="B2" s="62"/>
      <c r="C2" s="63"/>
      <c r="D2" s="63"/>
      <c r="E2" s="63"/>
      <c r="F2" s="64"/>
      <c r="G2" s="21">
        <v>2</v>
      </c>
    </row>
    <row r="3" spans="1:7" ht="24.75" customHeight="1">
      <c r="A3" s="17" t="s">
        <v>40</v>
      </c>
      <c r="B3" s="34"/>
      <c r="C3" s="47" t="s">
        <v>323</v>
      </c>
      <c r="D3" s="47"/>
      <c r="E3" s="43"/>
      <c r="F3" s="43"/>
      <c r="G3" s="43"/>
    </row>
    <row r="4" spans="1:7" ht="29.25" customHeight="1">
      <c r="A4" s="17" t="s">
        <v>319</v>
      </c>
      <c r="B4" s="10"/>
      <c r="C4" s="47" t="s">
        <v>320</v>
      </c>
      <c r="D4" s="47"/>
      <c r="E4" s="43"/>
      <c r="F4" s="43"/>
      <c r="G4" s="43"/>
    </row>
    <row r="5" spans="1:7" ht="25.5" customHeight="1">
      <c r="A5" s="17" t="s">
        <v>322</v>
      </c>
      <c r="B5" s="10"/>
      <c r="C5" s="47" t="s">
        <v>41</v>
      </c>
      <c r="D5" s="47"/>
      <c r="E5" s="43"/>
      <c r="F5" s="43"/>
      <c r="G5" s="43"/>
    </row>
    <row r="6" spans="1:7" s="4" customFormat="1" ht="39.75" customHeight="1">
      <c r="A6" s="48" t="s">
        <v>7</v>
      </c>
      <c r="B6" s="48" t="s">
        <v>8</v>
      </c>
      <c r="C6" s="48" t="s">
        <v>10</v>
      </c>
      <c r="D6" s="48" t="s">
        <v>11</v>
      </c>
      <c r="E6" s="49" t="s">
        <v>12</v>
      </c>
      <c r="F6" s="45" t="s">
        <v>321</v>
      </c>
      <c r="G6" s="45"/>
    </row>
    <row r="7" spans="1:7" s="4" customFormat="1" ht="64.5" customHeight="1">
      <c r="A7" s="48"/>
      <c r="B7" s="48"/>
      <c r="C7" s="48"/>
      <c r="D7" s="48"/>
      <c r="E7" s="49"/>
      <c r="F7" s="16"/>
      <c r="G7" s="16"/>
    </row>
    <row r="8" spans="1:7" ht="24" customHeight="1">
      <c r="A8" s="18" t="s">
        <v>9</v>
      </c>
      <c r="B8" s="53" t="s">
        <v>19</v>
      </c>
      <c r="C8" s="53"/>
      <c r="D8" s="53"/>
      <c r="E8" s="53"/>
      <c r="F8" s="53"/>
      <c r="G8" s="53"/>
    </row>
    <row r="9" spans="1:7" ht="64.5" customHeight="1">
      <c r="A9" s="8" t="s">
        <v>16</v>
      </c>
      <c r="B9" s="9" t="s">
        <v>54</v>
      </c>
      <c r="C9" s="10"/>
      <c r="D9" s="10" t="s">
        <v>17</v>
      </c>
      <c r="E9" s="11">
        <v>1</v>
      </c>
      <c r="F9" s="10"/>
      <c r="G9" s="10"/>
    </row>
    <row r="10" spans="1:7" ht="15" customHeight="1">
      <c r="A10" s="36" t="s">
        <v>14</v>
      </c>
      <c r="B10" s="42" t="s">
        <v>342</v>
      </c>
      <c r="C10" s="43"/>
      <c r="D10" s="43" t="s">
        <v>17</v>
      </c>
      <c r="E10" s="52">
        <v>1</v>
      </c>
      <c r="F10" s="51"/>
      <c r="G10" s="51"/>
    </row>
    <row r="11" spans="1:7" ht="83.25" customHeight="1">
      <c r="A11" s="36"/>
      <c r="B11" s="42"/>
      <c r="C11" s="43"/>
      <c r="D11" s="43"/>
      <c r="E11" s="52"/>
      <c r="F11" s="51"/>
      <c r="G11" s="51"/>
    </row>
    <row r="12" spans="1:7" ht="64.5" customHeight="1">
      <c r="A12" s="8" t="s">
        <v>15</v>
      </c>
      <c r="B12" s="13" t="s">
        <v>42</v>
      </c>
      <c r="C12" s="10"/>
      <c r="D12" s="10" t="s">
        <v>17</v>
      </c>
      <c r="E12" s="11">
        <v>1</v>
      </c>
      <c r="F12" s="12"/>
      <c r="G12" s="12"/>
    </row>
    <row r="13" spans="1:7" ht="96.75" customHeight="1">
      <c r="A13" s="8" t="s">
        <v>21</v>
      </c>
      <c r="B13" s="13" t="s">
        <v>343</v>
      </c>
      <c r="C13" s="10"/>
      <c r="D13" s="10" t="s">
        <v>28</v>
      </c>
      <c r="E13" s="11"/>
      <c r="F13" s="12"/>
      <c r="G13" s="12"/>
    </row>
    <row r="14" spans="1:7" ht="85.5" customHeight="1">
      <c r="A14" s="8" t="s">
        <v>37</v>
      </c>
      <c r="B14" s="13" t="s">
        <v>360</v>
      </c>
      <c r="C14" s="10"/>
      <c r="D14" s="10" t="s">
        <v>26</v>
      </c>
      <c r="E14" s="11"/>
      <c r="F14" s="12"/>
      <c r="G14" s="12"/>
    </row>
    <row r="15" spans="1:7" ht="98.25" customHeight="1">
      <c r="A15" s="8" t="s">
        <v>38</v>
      </c>
      <c r="B15" s="9" t="s">
        <v>361</v>
      </c>
      <c r="C15" s="10"/>
      <c r="D15" s="10" t="s">
        <v>24</v>
      </c>
      <c r="E15" s="22">
        <v>0</v>
      </c>
      <c r="F15" s="12"/>
      <c r="G15" s="12"/>
    </row>
    <row r="16" spans="1:7" ht="119.25" customHeight="1">
      <c r="A16" s="8" t="s">
        <v>43</v>
      </c>
      <c r="B16" s="31" t="s">
        <v>362</v>
      </c>
      <c r="C16" s="10"/>
      <c r="D16" s="10" t="s">
        <v>17</v>
      </c>
      <c r="E16" s="11"/>
      <c r="F16" s="12"/>
      <c r="G16" s="12"/>
    </row>
    <row r="17" spans="1:7" ht="60.75" customHeight="1">
      <c r="A17" s="8" t="s">
        <v>73</v>
      </c>
      <c r="B17" s="13" t="s">
        <v>147</v>
      </c>
      <c r="C17" s="10"/>
      <c r="D17" s="10" t="s">
        <v>23</v>
      </c>
      <c r="E17" s="11"/>
      <c r="F17" s="12"/>
      <c r="G17" s="12"/>
    </row>
    <row r="18" spans="1:7" ht="126.75" customHeight="1">
      <c r="A18" s="8" t="s">
        <v>146</v>
      </c>
      <c r="B18" s="13" t="s">
        <v>363</v>
      </c>
      <c r="C18" s="10"/>
      <c r="D18" s="10" t="s">
        <v>17</v>
      </c>
      <c r="E18" s="11">
        <v>1</v>
      </c>
      <c r="F18" s="12"/>
      <c r="G18" s="12"/>
    </row>
    <row r="19" spans="1:7" ht="42.75" customHeight="1">
      <c r="A19" s="44" t="s">
        <v>325</v>
      </c>
      <c r="B19" s="44"/>
      <c r="C19" s="44"/>
      <c r="D19" s="44"/>
      <c r="E19" s="44"/>
      <c r="F19" s="44"/>
      <c r="G19" s="44"/>
    </row>
    <row r="20" spans="1:7" ht="39" customHeight="1">
      <c r="A20" s="18" t="s">
        <v>0</v>
      </c>
      <c r="B20" s="53" t="s">
        <v>149</v>
      </c>
      <c r="C20" s="53"/>
      <c r="D20" s="53"/>
      <c r="E20" s="53"/>
      <c r="F20" s="53"/>
      <c r="G20" s="53"/>
    </row>
    <row r="21" spans="1:7" s="4" customFormat="1" ht="47.25" customHeight="1">
      <c r="A21" s="48" t="s">
        <v>7</v>
      </c>
      <c r="B21" s="48" t="s">
        <v>8</v>
      </c>
      <c r="C21" s="48" t="s">
        <v>10</v>
      </c>
      <c r="D21" s="48" t="s">
        <v>11</v>
      </c>
      <c r="E21" s="49" t="s">
        <v>12</v>
      </c>
      <c r="F21" s="45" t="s">
        <v>321</v>
      </c>
      <c r="G21" s="45"/>
    </row>
    <row r="22" spans="1:7" s="4" customFormat="1" ht="47.25" customHeight="1">
      <c r="A22" s="48"/>
      <c r="B22" s="48"/>
      <c r="C22" s="48"/>
      <c r="D22" s="48"/>
      <c r="E22" s="49"/>
      <c r="F22" s="16"/>
      <c r="G22" s="16"/>
    </row>
    <row r="23" spans="1:7" ht="40.5">
      <c r="A23" s="8" t="s">
        <v>0</v>
      </c>
      <c r="B23" s="9" t="s">
        <v>74</v>
      </c>
      <c r="C23" s="10"/>
      <c r="D23" s="10"/>
      <c r="E23" s="11"/>
      <c r="F23" s="12"/>
      <c r="G23" s="12"/>
    </row>
    <row r="24" spans="1:7" ht="24" customHeight="1">
      <c r="A24" s="14" t="s">
        <v>1</v>
      </c>
      <c r="B24" s="15" t="s">
        <v>20</v>
      </c>
      <c r="C24" s="50">
        <f>F24*E24</f>
        <v>0</v>
      </c>
      <c r="D24" s="50"/>
      <c r="E24" s="50"/>
      <c r="F24" s="50"/>
      <c r="G24" s="50"/>
    </row>
    <row r="25" spans="1:7" ht="15">
      <c r="A25" s="8"/>
      <c r="B25" s="23" t="s">
        <v>136</v>
      </c>
      <c r="C25" s="24"/>
      <c r="D25" s="24" t="s">
        <v>18</v>
      </c>
      <c r="E25" s="25"/>
      <c r="F25" s="26"/>
      <c r="G25" s="26"/>
    </row>
    <row r="26" spans="1:7" ht="15">
      <c r="A26" s="8"/>
      <c r="B26" s="23" t="s">
        <v>138</v>
      </c>
      <c r="C26" s="24"/>
      <c r="D26" s="24" t="s">
        <v>18</v>
      </c>
      <c r="E26" s="25"/>
      <c r="F26" s="26"/>
      <c r="G26" s="26"/>
    </row>
    <row r="27" spans="1:7" ht="15">
      <c r="A27" s="8"/>
      <c r="B27" s="23" t="s">
        <v>137</v>
      </c>
      <c r="C27" s="24"/>
      <c r="D27" s="24" t="s">
        <v>18</v>
      </c>
      <c r="E27" s="25"/>
      <c r="F27" s="26"/>
      <c r="G27" s="26"/>
    </row>
    <row r="28" spans="1:7" ht="15">
      <c r="A28" s="8"/>
      <c r="B28" s="23" t="s">
        <v>139</v>
      </c>
      <c r="C28" s="24"/>
      <c r="D28" s="24" t="s">
        <v>18</v>
      </c>
      <c r="E28" s="25"/>
      <c r="F28" s="26"/>
      <c r="G28" s="26"/>
    </row>
    <row r="29" spans="1:7" ht="15">
      <c r="A29" s="8"/>
      <c r="B29" s="23" t="s">
        <v>140</v>
      </c>
      <c r="C29" s="24"/>
      <c r="D29" s="24" t="s">
        <v>18</v>
      </c>
      <c r="E29" s="25"/>
      <c r="F29" s="26"/>
      <c r="G29" s="26"/>
    </row>
    <row r="30" spans="1:7" ht="15">
      <c r="A30" s="8"/>
      <c r="B30" s="23" t="s">
        <v>141</v>
      </c>
      <c r="C30" s="24"/>
      <c r="D30" s="24" t="s">
        <v>18</v>
      </c>
      <c r="E30" s="25"/>
      <c r="F30" s="26"/>
      <c r="G30" s="26"/>
    </row>
    <row r="31" spans="1:7" ht="15">
      <c r="A31" s="8"/>
      <c r="B31" s="23" t="s">
        <v>102</v>
      </c>
      <c r="C31" s="24"/>
      <c r="D31" s="24" t="s">
        <v>18</v>
      </c>
      <c r="E31" s="25"/>
      <c r="F31" s="26"/>
      <c r="G31" s="26"/>
    </row>
    <row r="32" spans="1:7" ht="15">
      <c r="A32" s="8"/>
      <c r="B32" s="23" t="s">
        <v>144</v>
      </c>
      <c r="C32" s="24"/>
      <c r="D32" s="24" t="s">
        <v>18</v>
      </c>
      <c r="E32" s="25"/>
      <c r="F32" s="26"/>
      <c r="G32" s="26"/>
    </row>
    <row r="33" spans="1:7" ht="15">
      <c r="A33" s="8"/>
      <c r="B33" s="23" t="s">
        <v>103</v>
      </c>
      <c r="C33" s="24"/>
      <c r="D33" s="24" t="s">
        <v>18</v>
      </c>
      <c r="E33" s="25"/>
      <c r="F33" s="26"/>
      <c r="G33" s="26"/>
    </row>
    <row r="34" spans="1:7" ht="15">
      <c r="A34" s="8"/>
      <c r="B34" s="23" t="s">
        <v>104</v>
      </c>
      <c r="C34" s="24"/>
      <c r="D34" s="24" t="s">
        <v>18</v>
      </c>
      <c r="E34" s="25"/>
      <c r="F34" s="26"/>
      <c r="G34" s="26"/>
    </row>
    <row r="35" spans="1:7" ht="15">
      <c r="A35" s="8"/>
      <c r="B35" s="23" t="s">
        <v>143</v>
      </c>
      <c r="C35" s="24"/>
      <c r="D35" s="24" t="s">
        <v>18</v>
      </c>
      <c r="E35" s="25"/>
      <c r="F35" s="26"/>
      <c r="G35" s="26"/>
    </row>
    <row r="36" spans="1:7" ht="15">
      <c r="A36" s="8"/>
      <c r="B36" s="23" t="s">
        <v>142</v>
      </c>
      <c r="C36" s="24"/>
      <c r="D36" s="24" t="s">
        <v>18</v>
      </c>
      <c r="E36" s="25"/>
      <c r="F36" s="26"/>
      <c r="G36" s="26"/>
    </row>
    <row r="37" spans="1:7" ht="15">
      <c r="A37" s="8"/>
      <c r="B37" s="23" t="s">
        <v>145</v>
      </c>
      <c r="C37" s="24"/>
      <c r="D37" s="24" t="s">
        <v>18</v>
      </c>
      <c r="E37" s="25"/>
      <c r="F37" s="26"/>
      <c r="G37" s="26"/>
    </row>
    <row r="38" spans="1:7" ht="15">
      <c r="A38" s="8"/>
      <c r="B38" s="23" t="s">
        <v>105</v>
      </c>
      <c r="C38" s="24"/>
      <c r="D38" s="24" t="s">
        <v>18</v>
      </c>
      <c r="E38" s="25"/>
      <c r="F38" s="26"/>
      <c r="G38" s="26"/>
    </row>
    <row r="39" spans="1:7" ht="33" customHeight="1">
      <c r="A39" s="35" t="s">
        <v>95</v>
      </c>
      <c r="B39" s="35"/>
      <c r="C39" s="41"/>
      <c r="D39" s="41"/>
      <c r="E39" s="41"/>
      <c r="F39" s="41"/>
      <c r="G39" s="41"/>
    </row>
    <row r="40" spans="1:7" ht="26.25" customHeight="1">
      <c r="A40" s="14" t="s">
        <v>2</v>
      </c>
      <c r="B40" s="15" t="s">
        <v>30</v>
      </c>
      <c r="C40" s="50">
        <f>F40*E40</f>
        <v>0</v>
      </c>
      <c r="D40" s="50"/>
      <c r="E40" s="50"/>
      <c r="F40" s="50"/>
      <c r="G40" s="50"/>
    </row>
    <row r="41" spans="1:7" ht="15">
      <c r="A41" s="8"/>
      <c r="B41" s="23" t="s">
        <v>106</v>
      </c>
      <c r="C41" s="24"/>
      <c r="D41" s="24" t="s">
        <v>18</v>
      </c>
      <c r="E41" s="25"/>
      <c r="F41" s="26"/>
      <c r="G41" s="26"/>
    </row>
    <row r="42" spans="1:7" ht="15">
      <c r="A42" s="8"/>
      <c r="B42" s="23" t="s">
        <v>107</v>
      </c>
      <c r="C42" s="24"/>
      <c r="D42" s="24" t="s">
        <v>18</v>
      </c>
      <c r="E42" s="25"/>
      <c r="F42" s="26"/>
      <c r="G42" s="26"/>
    </row>
    <row r="43" spans="1:7" ht="15">
      <c r="A43" s="8"/>
      <c r="B43" s="23" t="s">
        <v>341</v>
      </c>
      <c r="C43" s="24"/>
      <c r="D43" s="24" t="s">
        <v>18</v>
      </c>
      <c r="E43" s="25"/>
      <c r="F43" s="26"/>
      <c r="G43" s="26"/>
    </row>
    <row r="44" spans="1:7" ht="15">
      <c r="A44" s="8"/>
      <c r="B44" s="23" t="s">
        <v>108</v>
      </c>
      <c r="C44" s="24"/>
      <c r="D44" s="24" t="s">
        <v>18</v>
      </c>
      <c r="E44" s="25"/>
      <c r="F44" s="26"/>
      <c r="G44" s="26"/>
    </row>
    <row r="45" spans="1:7" ht="24.75" customHeight="1">
      <c r="A45" s="35" t="s">
        <v>95</v>
      </c>
      <c r="B45" s="35"/>
      <c r="C45" s="41"/>
      <c r="D45" s="41"/>
      <c r="E45" s="41"/>
      <c r="F45" s="41"/>
      <c r="G45" s="41"/>
    </row>
    <row r="46" spans="1:7" ht="21.75" customHeight="1">
      <c r="A46" s="14" t="s">
        <v>3</v>
      </c>
      <c r="B46" s="15" t="s">
        <v>27</v>
      </c>
      <c r="C46" s="50">
        <f>F46*E46</f>
        <v>0</v>
      </c>
      <c r="D46" s="50"/>
      <c r="E46" s="50"/>
      <c r="F46" s="50"/>
      <c r="G46" s="50"/>
    </row>
    <row r="47" spans="1:7" ht="15">
      <c r="A47" s="8"/>
      <c r="B47" s="23" t="s">
        <v>338</v>
      </c>
      <c r="C47" s="24"/>
      <c r="D47" s="24" t="s">
        <v>18</v>
      </c>
      <c r="E47" s="25"/>
      <c r="F47" s="26"/>
      <c r="G47" s="26"/>
    </row>
    <row r="48" spans="1:7" ht="15">
      <c r="A48" s="8"/>
      <c r="B48" s="23" t="s">
        <v>109</v>
      </c>
      <c r="C48" s="24"/>
      <c r="D48" s="24" t="s">
        <v>18</v>
      </c>
      <c r="E48" s="25"/>
      <c r="F48" s="26"/>
      <c r="G48" s="26"/>
    </row>
    <row r="49" spans="1:7" ht="15">
      <c r="A49" s="8"/>
      <c r="B49" s="23" t="s">
        <v>339</v>
      </c>
      <c r="C49" s="24"/>
      <c r="D49" s="24" t="s">
        <v>18</v>
      </c>
      <c r="E49" s="25"/>
      <c r="F49" s="26"/>
      <c r="G49" s="26"/>
    </row>
    <row r="50" spans="1:7" ht="15">
      <c r="A50" s="8"/>
      <c r="B50" s="23" t="s">
        <v>110</v>
      </c>
      <c r="C50" s="24"/>
      <c r="D50" s="24" t="s">
        <v>18</v>
      </c>
      <c r="E50" s="25"/>
      <c r="F50" s="26"/>
      <c r="G50" s="26"/>
    </row>
    <row r="51" spans="1:7" ht="15">
      <c r="A51" s="8"/>
      <c r="B51" s="23" t="s">
        <v>111</v>
      </c>
      <c r="C51" s="24"/>
      <c r="D51" s="24" t="s">
        <v>18</v>
      </c>
      <c r="E51" s="25"/>
      <c r="F51" s="26"/>
      <c r="G51" s="26"/>
    </row>
    <row r="52" spans="1:7" ht="15">
      <c r="A52" s="8"/>
      <c r="B52" s="23" t="s">
        <v>112</v>
      </c>
      <c r="C52" s="24"/>
      <c r="D52" s="24" t="s">
        <v>18</v>
      </c>
      <c r="E52" s="25"/>
      <c r="F52" s="26"/>
      <c r="G52" s="26"/>
    </row>
    <row r="53" spans="1:7" ht="15">
      <c r="A53" s="8"/>
      <c r="B53" s="23" t="s">
        <v>340</v>
      </c>
      <c r="C53" s="24"/>
      <c r="D53" s="24" t="s">
        <v>18</v>
      </c>
      <c r="E53" s="25"/>
      <c r="F53" s="26"/>
      <c r="G53" s="26"/>
    </row>
    <row r="54" spans="1:7" ht="15">
      <c r="A54" s="8"/>
      <c r="B54" s="23" t="s">
        <v>334</v>
      </c>
      <c r="C54" s="24"/>
      <c r="D54" s="24" t="s">
        <v>18</v>
      </c>
      <c r="E54" s="25"/>
      <c r="F54" s="26"/>
      <c r="G54" s="26"/>
    </row>
    <row r="55" spans="1:7" ht="15">
      <c r="A55" s="8"/>
      <c r="B55" s="23" t="s">
        <v>119</v>
      </c>
      <c r="C55" s="24"/>
      <c r="D55" s="24" t="s">
        <v>18</v>
      </c>
      <c r="E55" s="25"/>
      <c r="F55" s="26"/>
      <c r="G55" s="26"/>
    </row>
    <row r="56" spans="1:7" ht="15">
      <c r="A56" s="8"/>
      <c r="B56" s="23" t="s">
        <v>335</v>
      </c>
      <c r="C56" s="24"/>
      <c r="D56" s="24" t="s">
        <v>18</v>
      </c>
      <c r="E56" s="25"/>
      <c r="F56" s="26"/>
      <c r="G56" s="26"/>
    </row>
    <row r="57" spans="1:7" ht="15">
      <c r="A57" s="8"/>
      <c r="B57" s="23" t="s">
        <v>337</v>
      </c>
      <c r="C57" s="24"/>
      <c r="D57" s="24" t="s">
        <v>18</v>
      </c>
      <c r="E57" s="25"/>
      <c r="F57" s="26"/>
      <c r="G57" s="26"/>
    </row>
    <row r="58" spans="1:7" ht="17.25" customHeight="1">
      <c r="A58" s="8"/>
      <c r="B58" s="23" t="s">
        <v>336</v>
      </c>
      <c r="C58" s="24"/>
      <c r="D58" s="24" t="s">
        <v>18</v>
      </c>
      <c r="E58" s="25"/>
      <c r="F58" s="26"/>
      <c r="G58" s="26"/>
    </row>
    <row r="59" spans="1:7" ht="31.5" customHeight="1">
      <c r="A59" s="35" t="s">
        <v>95</v>
      </c>
      <c r="B59" s="35"/>
      <c r="C59" s="41" t="e">
        <f>SUM(#REF!)</f>
        <v>#REF!</v>
      </c>
      <c r="D59" s="41"/>
      <c r="E59" s="41"/>
      <c r="F59" s="41"/>
      <c r="G59" s="41"/>
    </row>
    <row r="60" spans="1:7" ht="22.5" customHeight="1">
      <c r="A60" s="14" t="s">
        <v>4</v>
      </c>
      <c r="B60" s="15" t="s">
        <v>113</v>
      </c>
      <c r="C60" s="50">
        <f>F60*E60</f>
        <v>0</v>
      </c>
      <c r="D60" s="50"/>
      <c r="E60" s="50"/>
      <c r="F60" s="50"/>
      <c r="G60" s="50"/>
    </row>
    <row r="61" spans="1:7" ht="15">
      <c r="A61" s="8"/>
      <c r="B61" s="23" t="s">
        <v>280</v>
      </c>
      <c r="C61" s="24"/>
      <c r="D61" s="24" t="s">
        <v>18</v>
      </c>
      <c r="E61" s="25"/>
      <c r="F61" s="26"/>
      <c r="G61" s="26"/>
    </row>
    <row r="62" spans="1:7" ht="15">
      <c r="A62" s="27"/>
      <c r="B62" s="23" t="s">
        <v>281</v>
      </c>
      <c r="C62" s="24"/>
      <c r="D62" s="24" t="s">
        <v>18</v>
      </c>
      <c r="E62" s="25"/>
      <c r="F62" s="26"/>
      <c r="G62" s="26"/>
    </row>
    <row r="63" spans="1:7" ht="15">
      <c r="A63" s="27"/>
      <c r="B63" s="23" t="s">
        <v>282</v>
      </c>
      <c r="C63" s="24"/>
      <c r="D63" s="24" t="s">
        <v>18</v>
      </c>
      <c r="E63" s="25"/>
      <c r="F63" s="26"/>
      <c r="G63" s="26"/>
    </row>
    <row r="64" spans="1:7" ht="15">
      <c r="A64" s="27"/>
      <c r="B64" s="23" t="s">
        <v>283</v>
      </c>
      <c r="C64" s="24"/>
      <c r="D64" s="24" t="s">
        <v>18</v>
      </c>
      <c r="E64" s="25"/>
      <c r="F64" s="26"/>
      <c r="G64" s="26"/>
    </row>
    <row r="65" spans="1:7" ht="15">
      <c r="A65" s="27"/>
      <c r="B65" s="23" t="s">
        <v>284</v>
      </c>
      <c r="C65" s="24"/>
      <c r="D65" s="24" t="s">
        <v>18</v>
      </c>
      <c r="E65" s="25"/>
      <c r="F65" s="26"/>
      <c r="G65" s="26"/>
    </row>
    <row r="66" spans="1:7" ht="15">
      <c r="A66" s="27"/>
      <c r="B66" s="23" t="s">
        <v>285</v>
      </c>
      <c r="C66" s="24"/>
      <c r="D66" s="24" t="s">
        <v>18</v>
      </c>
      <c r="E66" s="25"/>
      <c r="F66" s="26"/>
      <c r="G66" s="26"/>
    </row>
    <row r="67" spans="1:7" ht="15">
      <c r="A67" s="27"/>
      <c r="B67" s="23" t="s">
        <v>286</v>
      </c>
      <c r="C67" s="24"/>
      <c r="D67" s="24" t="s">
        <v>18</v>
      </c>
      <c r="E67" s="25"/>
      <c r="F67" s="26"/>
      <c r="G67" s="26"/>
    </row>
    <row r="68" spans="1:7" ht="15">
      <c r="A68" s="27"/>
      <c r="B68" s="23" t="s">
        <v>287</v>
      </c>
      <c r="C68" s="24"/>
      <c r="D68" s="24" t="s">
        <v>18</v>
      </c>
      <c r="E68" s="25"/>
      <c r="F68" s="26"/>
      <c r="G68" s="26"/>
    </row>
    <row r="69" spans="1:7" ht="15">
      <c r="A69" s="27"/>
      <c r="B69" s="23" t="s">
        <v>288</v>
      </c>
      <c r="C69" s="24"/>
      <c r="D69" s="24" t="s">
        <v>18</v>
      </c>
      <c r="E69" s="25"/>
      <c r="F69" s="26"/>
      <c r="G69" s="26"/>
    </row>
    <row r="70" spans="1:7" ht="15">
      <c r="A70" s="8"/>
      <c r="B70" s="23" t="s">
        <v>289</v>
      </c>
      <c r="C70" s="24"/>
      <c r="D70" s="24" t="s">
        <v>18</v>
      </c>
      <c r="E70" s="25"/>
      <c r="F70" s="26"/>
      <c r="G70" s="26"/>
    </row>
    <row r="71" spans="1:7" ht="15">
      <c r="A71" s="8"/>
      <c r="B71" s="23" t="s">
        <v>290</v>
      </c>
      <c r="C71" s="24"/>
      <c r="D71" s="24" t="s">
        <v>18</v>
      </c>
      <c r="E71" s="25"/>
      <c r="F71" s="26"/>
      <c r="G71" s="26"/>
    </row>
    <row r="72" spans="1:7" ht="15">
      <c r="A72" s="8"/>
      <c r="B72" s="23" t="s">
        <v>291</v>
      </c>
      <c r="C72" s="24"/>
      <c r="D72" s="24" t="s">
        <v>18</v>
      </c>
      <c r="E72" s="25"/>
      <c r="F72" s="26"/>
      <c r="G72" s="26"/>
    </row>
    <row r="73" spans="1:7" ht="28.5" customHeight="1">
      <c r="A73" s="35" t="s">
        <v>95</v>
      </c>
      <c r="B73" s="35"/>
      <c r="C73" s="41" t="e">
        <f>SUM(#REF!)</f>
        <v>#REF!</v>
      </c>
      <c r="D73" s="41"/>
      <c r="E73" s="41"/>
      <c r="F73" s="41"/>
      <c r="G73" s="41"/>
    </row>
    <row r="74" spans="1:7" ht="29.25" customHeight="1">
      <c r="A74" s="14" t="s">
        <v>5</v>
      </c>
      <c r="B74" s="15" t="s">
        <v>45</v>
      </c>
      <c r="C74" s="50">
        <f>F74*E74</f>
        <v>0</v>
      </c>
      <c r="D74" s="50"/>
      <c r="E74" s="50"/>
      <c r="F74" s="50"/>
      <c r="G74" s="50"/>
    </row>
    <row r="75" spans="1:7" ht="20.100000000000001" customHeight="1">
      <c r="A75" s="27"/>
      <c r="B75" s="23" t="s">
        <v>203</v>
      </c>
      <c r="C75" s="24"/>
      <c r="D75" s="24" t="s">
        <v>215</v>
      </c>
      <c r="E75" s="25"/>
      <c r="F75" s="26"/>
      <c r="G75" s="26"/>
    </row>
    <row r="76" spans="1:7" ht="20.100000000000001" customHeight="1">
      <c r="A76" s="27"/>
      <c r="B76" s="23" t="s">
        <v>188</v>
      </c>
      <c r="C76" s="24"/>
      <c r="D76" s="24" t="s">
        <v>215</v>
      </c>
      <c r="E76" s="25"/>
      <c r="F76" s="26"/>
      <c r="G76" s="26"/>
    </row>
    <row r="77" spans="1:7" ht="20.100000000000001" customHeight="1">
      <c r="A77" s="27"/>
      <c r="B77" s="23" t="s">
        <v>344</v>
      </c>
      <c r="C77" s="24"/>
      <c r="D77" s="24" t="s">
        <v>215</v>
      </c>
      <c r="E77" s="25"/>
      <c r="F77" s="26"/>
      <c r="G77" s="26"/>
    </row>
    <row r="78" spans="1:7" ht="20.100000000000001" customHeight="1">
      <c r="A78" s="27"/>
      <c r="B78" s="23" t="s">
        <v>212</v>
      </c>
      <c r="C78" s="24"/>
      <c r="D78" s="24" t="s">
        <v>215</v>
      </c>
      <c r="E78" s="25"/>
      <c r="F78" s="26"/>
      <c r="G78" s="26"/>
    </row>
    <row r="79" spans="1:7" ht="20.100000000000001" customHeight="1">
      <c r="A79" s="27"/>
      <c r="B79" s="23" t="s">
        <v>174</v>
      </c>
      <c r="C79" s="24"/>
      <c r="D79" s="24" t="s">
        <v>215</v>
      </c>
      <c r="E79" s="25"/>
      <c r="F79" s="26"/>
      <c r="G79" s="26"/>
    </row>
    <row r="80" spans="1:7" ht="20.100000000000001" customHeight="1">
      <c r="A80" s="27"/>
      <c r="B80" s="23" t="s">
        <v>173</v>
      </c>
      <c r="C80" s="24"/>
      <c r="D80" s="24" t="s">
        <v>215</v>
      </c>
      <c r="E80" s="25"/>
      <c r="F80" s="26"/>
      <c r="G80" s="26"/>
    </row>
    <row r="81" spans="1:7" ht="20.100000000000001" customHeight="1">
      <c r="A81" s="27"/>
      <c r="B81" s="23" t="s">
        <v>114</v>
      </c>
      <c r="C81" s="24"/>
      <c r="D81" s="24" t="s">
        <v>215</v>
      </c>
      <c r="E81" s="25"/>
      <c r="F81" s="26"/>
      <c r="G81" s="26"/>
    </row>
    <row r="82" spans="1:7" ht="20.100000000000001" customHeight="1">
      <c r="A82" s="27"/>
      <c r="B82" s="23" t="s">
        <v>209</v>
      </c>
      <c r="C82" s="24"/>
      <c r="D82" s="24" t="s">
        <v>215</v>
      </c>
      <c r="E82" s="25"/>
      <c r="F82" s="26"/>
      <c r="G82" s="26"/>
    </row>
    <row r="83" spans="1:7" ht="20.100000000000001" customHeight="1">
      <c r="A83" s="27"/>
      <c r="B83" s="23" t="s">
        <v>208</v>
      </c>
      <c r="C83" s="24"/>
      <c r="D83" s="24" t="s">
        <v>215</v>
      </c>
      <c r="E83" s="25"/>
      <c r="F83" s="26"/>
      <c r="G83" s="26"/>
    </row>
    <row r="84" spans="1:7" ht="20.100000000000001" customHeight="1">
      <c r="A84" s="27"/>
      <c r="B84" s="23" t="s">
        <v>175</v>
      </c>
      <c r="C84" s="24"/>
      <c r="D84" s="24" t="s">
        <v>215</v>
      </c>
      <c r="E84" s="25"/>
      <c r="F84" s="26"/>
      <c r="G84" s="26"/>
    </row>
    <row r="85" spans="1:7" ht="20.100000000000001" customHeight="1">
      <c r="A85" s="27"/>
      <c r="B85" s="23" t="s">
        <v>345</v>
      </c>
      <c r="C85" s="24"/>
      <c r="D85" s="24" t="s">
        <v>215</v>
      </c>
      <c r="E85" s="25"/>
      <c r="F85" s="26"/>
      <c r="G85" s="26"/>
    </row>
    <row r="86" spans="1:7" ht="20.100000000000001" customHeight="1">
      <c r="A86" s="27"/>
      <c r="B86" s="23" t="s">
        <v>171</v>
      </c>
      <c r="C86" s="24"/>
      <c r="D86" s="24" t="s">
        <v>215</v>
      </c>
      <c r="E86" s="25"/>
      <c r="F86" s="26"/>
      <c r="G86" s="26"/>
    </row>
    <row r="87" spans="1:7" ht="20.100000000000001" customHeight="1">
      <c r="A87" s="27"/>
      <c r="B87" s="23" t="s">
        <v>172</v>
      </c>
      <c r="C87" s="24"/>
      <c r="D87" s="24" t="s">
        <v>215</v>
      </c>
      <c r="E87" s="25"/>
      <c r="F87" s="26"/>
      <c r="G87" s="26"/>
    </row>
    <row r="88" spans="1:7" ht="20.100000000000001" customHeight="1">
      <c r="A88" s="27"/>
      <c r="B88" s="23" t="s">
        <v>199</v>
      </c>
      <c r="C88" s="24"/>
      <c r="D88" s="24" t="s">
        <v>215</v>
      </c>
      <c r="E88" s="25"/>
      <c r="F88" s="26"/>
      <c r="G88" s="26"/>
    </row>
    <row r="89" spans="1:7" ht="20.100000000000001" customHeight="1">
      <c r="A89" s="27"/>
      <c r="B89" s="23" t="s">
        <v>191</v>
      </c>
      <c r="C89" s="24"/>
      <c r="D89" s="24" t="s">
        <v>215</v>
      </c>
      <c r="E89" s="25"/>
      <c r="F89" s="26"/>
      <c r="G89" s="26"/>
    </row>
    <row r="90" spans="1:7" ht="20.100000000000001" customHeight="1">
      <c r="A90" s="27"/>
      <c r="B90" s="23" t="s">
        <v>346</v>
      </c>
      <c r="C90" s="24"/>
      <c r="D90" s="24" t="s">
        <v>215</v>
      </c>
      <c r="E90" s="25"/>
      <c r="F90" s="26"/>
      <c r="G90" s="26"/>
    </row>
    <row r="91" spans="1:7" ht="20.100000000000001" customHeight="1">
      <c r="A91" s="27"/>
      <c r="B91" s="23" t="s">
        <v>347</v>
      </c>
      <c r="C91" s="24"/>
      <c r="D91" s="24" t="s">
        <v>215</v>
      </c>
      <c r="E91" s="25"/>
      <c r="F91" s="26"/>
      <c r="G91" s="26"/>
    </row>
    <row r="92" spans="1:7" ht="20.100000000000001" customHeight="1">
      <c r="A92" s="27"/>
      <c r="B92" s="23" t="s">
        <v>176</v>
      </c>
      <c r="C92" s="24"/>
      <c r="D92" s="24" t="s">
        <v>215</v>
      </c>
      <c r="E92" s="25"/>
      <c r="F92" s="26"/>
      <c r="G92" s="26"/>
    </row>
    <row r="93" spans="1:7" ht="20.100000000000001" customHeight="1">
      <c r="A93" s="27"/>
      <c r="B93" s="23" t="s">
        <v>78</v>
      </c>
      <c r="C93" s="24"/>
      <c r="D93" s="24" t="s">
        <v>215</v>
      </c>
      <c r="E93" s="25"/>
      <c r="F93" s="26"/>
      <c r="G93" s="26"/>
    </row>
    <row r="94" spans="1:7" ht="20.100000000000001" customHeight="1">
      <c r="A94" s="27"/>
      <c r="B94" s="23" t="s">
        <v>206</v>
      </c>
      <c r="C94" s="24"/>
      <c r="D94" s="24" t="s">
        <v>215</v>
      </c>
      <c r="E94" s="25"/>
      <c r="F94" s="26"/>
      <c r="G94" s="26"/>
    </row>
    <row r="95" spans="1:7" ht="20.100000000000001" customHeight="1">
      <c r="A95" s="27"/>
      <c r="B95" s="23" t="s">
        <v>197</v>
      </c>
      <c r="C95" s="24"/>
      <c r="D95" s="24" t="s">
        <v>215</v>
      </c>
      <c r="E95" s="25"/>
      <c r="F95" s="26"/>
      <c r="G95" s="26"/>
    </row>
    <row r="96" spans="1:7" ht="20.100000000000001" customHeight="1">
      <c r="A96" s="27"/>
      <c r="B96" s="23" t="s">
        <v>213</v>
      </c>
      <c r="C96" s="24"/>
      <c r="D96" s="24" t="s">
        <v>215</v>
      </c>
      <c r="E96" s="25"/>
      <c r="F96" s="26"/>
      <c r="G96" s="26"/>
    </row>
    <row r="97" spans="1:7" ht="20.100000000000001" customHeight="1">
      <c r="A97" s="27"/>
      <c r="B97" s="23" t="s">
        <v>201</v>
      </c>
      <c r="C97" s="24"/>
      <c r="D97" s="24" t="s">
        <v>215</v>
      </c>
      <c r="E97" s="25"/>
      <c r="F97" s="26"/>
      <c r="G97" s="26"/>
    </row>
    <row r="98" spans="1:7" ht="20.100000000000001" customHeight="1">
      <c r="A98" s="27"/>
      <c r="B98" s="23" t="s">
        <v>200</v>
      </c>
      <c r="C98" s="24"/>
      <c r="D98" s="24" t="s">
        <v>215</v>
      </c>
      <c r="E98" s="25"/>
      <c r="F98" s="26"/>
      <c r="G98" s="26"/>
    </row>
    <row r="99" spans="1:7" ht="20.100000000000001" customHeight="1">
      <c r="A99" s="27"/>
      <c r="B99" s="23" t="s">
        <v>205</v>
      </c>
      <c r="C99" s="24"/>
      <c r="D99" s="24" t="s">
        <v>215</v>
      </c>
      <c r="E99" s="25"/>
      <c r="F99" s="26"/>
      <c r="G99" s="26"/>
    </row>
    <row r="100" spans="1:7" ht="20.100000000000001" customHeight="1">
      <c r="A100" s="27"/>
      <c r="B100" s="23" t="s">
        <v>178</v>
      </c>
      <c r="C100" s="24"/>
      <c r="D100" s="24" t="s">
        <v>215</v>
      </c>
      <c r="E100" s="25"/>
      <c r="F100" s="26"/>
      <c r="G100" s="26"/>
    </row>
    <row r="101" spans="1:7" ht="20.100000000000001" customHeight="1">
      <c r="A101" s="27"/>
      <c r="B101" s="23" t="s">
        <v>189</v>
      </c>
      <c r="C101" s="24"/>
      <c r="D101" s="24" t="s">
        <v>215</v>
      </c>
      <c r="E101" s="25"/>
      <c r="F101" s="26"/>
      <c r="G101" s="26"/>
    </row>
    <row r="102" spans="1:7" ht="20.100000000000001" customHeight="1">
      <c r="A102" s="27"/>
      <c r="B102" s="23" t="s">
        <v>177</v>
      </c>
      <c r="C102" s="24"/>
      <c r="D102" s="24" t="s">
        <v>215</v>
      </c>
      <c r="E102" s="25"/>
      <c r="F102" s="26"/>
      <c r="G102" s="26"/>
    </row>
    <row r="103" spans="1:7" ht="20.100000000000001" customHeight="1">
      <c r="A103" s="27"/>
      <c r="B103" s="23" t="s">
        <v>115</v>
      </c>
      <c r="C103" s="24"/>
      <c r="D103" s="24" t="s">
        <v>215</v>
      </c>
      <c r="E103" s="25"/>
      <c r="F103" s="26"/>
      <c r="G103" s="26"/>
    </row>
    <row r="104" spans="1:7" ht="20.100000000000001" customHeight="1">
      <c r="A104" s="27"/>
      <c r="B104" s="23" t="s">
        <v>193</v>
      </c>
      <c r="C104" s="24"/>
      <c r="D104" s="24" t="s">
        <v>215</v>
      </c>
      <c r="E104" s="25"/>
      <c r="F104" s="26"/>
      <c r="G104" s="26"/>
    </row>
    <row r="105" spans="1:7" ht="20.100000000000001" customHeight="1">
      <c r="A105" s="27"/>
      <c r="B105" s="23" t="s">
        <v>116</v>
      </c>
      <c r="C105" s="24"/>
      <c r="D105" s="24" t="s">
        <v>215</v>
      </c>
      <c r="E105" s="25"/>
      <c r="F105" s="26"/>
      <c r="G105" s="26"/>
    </row>
    <row r="106" spans="1:7" ht="20.100000000000001" customHeight="1">
      <c r="A106" s="27"/>
      <c r="B106" s="23" t="s">
        <v>117</v>
      </c>
      <c r="C106" s="24"/>
      <c r="D106" s="24" t="s">
        <v>215</v>
      </c>
      <c r="E106" s="25"/>
      <c r="F106" s="26"/>
      <c r="G106" s="26"/>
    </row>
    <row r="107" spans="1:7" ht="20.100000000000001" customHeight="1">
      <c r="A107" s="27"/>
      <c r="B107" s="23" t="s">
        <v>160</v>
      </c>
      <c r="C107" s="24"/>
      <c r="D107" s="24" t="s">
        <v>215</v>
      </c>
      <c r="E107" s="25"/>
      <c r="F107" s="26"/>
      <c r="G107" s="26"/>
    </row>
    <row r="108" spans="1:7" ht="20.100000000000001" customHeight="1">
      <c r="A108" s="27"/>
      <c r="B108" s="23" t="s">
        <v>179</v>
      </c>
      <c r="C108" s="24"/>
      <c r="D108" s="24" t="s">
        <v>215</v>
      </c>
      <c r="E108" s="25"/>
      <c r="F108" s="26"/>
      <c r="G108" s="26"/>
    </row>
    <row r="109" spans="1:7" ht="20.100000000000001" customHeight="1">
      <c r="A109" s="27"/>
      <c r="B109" s="23" t="s">
        <v>180</v>
      </c>
      <c r="C109" s="24"/>
      <c r="D109" s="24" t="s">
        <v>215</v>
      </c>
      <c r="E109" s="25"/>
      <c r="F109" s="26"/>
      <c r="G109" s="26"/>
    </row>
    <row r="110" spans="1:7" ht="20.100000000000001" customHeight="1">
      <c r="A110" s="27"/>
      <c r="B110" s="23" t="s">
        <v>207</v>
      </c>
      <c r="C110" s="24"/>
      <c r="D110" s="24" t="s">
        <v>215</v>
      </c>
      <c r="E110" s="25"/>
      <c r="F110" s="26"/>
      <c r="G110" s="26"/>
    </row>
    <row r="111" spans="1:7" ht="20.100000000000001" customHeight="1">
      <c r="A111" s="27"/>
      <c r="B111" s="23" t="s">
        <v>118</v>
      </c>
      <c r="C111" s="24"/>
      <c r="D111" s="24" t="s">
        <v>215</v>
      </c>
      <c r="E111" s="25"/>
      <c r="F111" s="26"/>
      <c r="G111" s="26"/>
    </row>
    <row r="112" spans="1:7" ht="20.100000000000001" customHeight="1">
      <c r="A112" s="27"/>
      <c r="B112" s="23" t="s">
        <v>214</v>
      </c>
      <c r="C112" s="24"/>
      <c r="D112" s="24" t="s">
        <v>215</v>
      </c>
      <c r="E112" s="25"/>
      <c r="F112" s="26"/>
      <c r="G112" s="26"/>
    </row>
    <row r="113" spans="1:7" ht="20.100000000000001" customHeight="1">
      <c r="A113" s="27"/>
      <c r="B113" s="23" t="s">
        <v>195</v>
      </c>
      <c r="C113" s="24"/>
      <c r="D113" s="24" t="s">
        <v>215</v>
      </c>
      <c r="E113" s="25"/>
      <c r="F113" s="26"/>
      <c r="G113" s="26"/>
    </row>
    <row r="114" spans="1:7" ht="20.100000000000001" customHeight="1">
      <c r="A114" s="27"/>
      <c r="B114" s="23" t="s">
        <v>190</v>
      </c>
      <c r="C114" s="24"/>
      <c r="D114" s="24" t="s">
        <v>215</v>
      </c>
      <c r="E114" s="25"/>
      <c r="F114" s="26"/>
      <c r="G114" s="26"/>
    </row>
    <row r="115" spans="1:7" ht="20.100000000000001" customHeight="1">
      <c r="A115" s="27"/>
      <c r="B115" s="23" t="s">
        <v>184</v>
      </c>
      <c r="C115" s="24"/>
      <c r="D115" s="24" t="s">
        <v>215</v>
      </c>
      <c r="E115" s="25"/>
      <c r="F115" s="26"/>
      <c r="G115" s="26"/>
    </row>
    <row r="116" spans="1:7" ht="20.100000000000001" customHeight="1">
      <c r="A116" s="27"/>
      <c r="B116" s="23" t="s">
        <v>183</v>
      </c>
      <c r="C116" s="24"/>
      <c r="D116" s="24" t="s">
        <v>215</v>
      </c>
      <c r="E116" s="25"/>
      <c r="F116" s="26"/>
      <c r="G116" s="26"/>
    </row>
    <row r="117" spans="1:7" ht="20.100000000000001" customHeight="1">
      <c r="A117" s="27"/>
      <c r="B117" s="23" t="s">
        <v>194</v>
      </c>
      <c r="C117" s="24"/>
      <c r="D117" s="24" t="s">
        <v>215</v>
      </c>
      <c r="E117" s="25"/>
      <c r="F117" s="26"/>
      <c r="G117" s="26"/>
    </row>
    <row r="118" spans="1:7" ht="20.100000000000001" customHeight="1">
      <c r="A118" s="27"/>
      <c r="B118" s="23" t="s">
        <v>187</v>
      </c>
      <c r="C118" s="24"/>
      <c r="D118" s="24" t="s">
        <v>215</v>
      </c>
      <c r="E118" s="25"/>
      <c r="F118" s="26"/>
      <c r="G118" s="26"/>
    </row>
    <row r="119" spans="1:7" ht="20.100000000000001" customHeight="1">
      <c r="A119" s="27"/>
      <c r="B119" s="23" t="s">
        <v>196</v>
      </c>
      <c r="C119" s="24"/>
      <c r="D119" s="24" t="s">
        <v>215</v>
      </c>
      <c r="E119" s="25"/>
      <c r="F119" s="26"/>
      <c r="G119" s="26"/>
    </row>
    <row r="120" spans="1:7" ht="20.100000000000001" customHeight="1">
      <c r="A120" s="27"/>
      <c r="B120" s="23" t="s">
        <v>202</v>
      </c>
      <c r="C120" s="24"/>
      <c r="D120" s="24" t="s">
        <v>215</v>
      </c>
      <c r="E120" s="25"/>
      <c r="F120" s="26"/>
      <c r="G120" s="26"/>
    </row>
    <row r="121" spans="1:7" ht="20.100000000000001" customHeight="1">
      <c r="A121" s="27"/>
      <c r="B121" s="23" t="s">
        <v>185</v>
      </c>
      <c r="C121" s="24"/>
      <c r="D121" s="24" t="s">
        <v>215</v>
      </c>
      <c r="E121" s="25"/>
      <c r="F121" s="26"/>
      <c r="G121" s="26"/>
    </row>
    <row r="122" spans="1:7" ht="20.100000000000001" customHeight="1">
      <c r="A122" s="27"/>
      <c r="B122" s="23" t="s">
        <v>192</v>
      </c>
      <c r="C122" s="24"/>
      <c r="D122" s="24" t="s">
        <v>215</v>
      </c>
      <c r="E122" s="25"/>
      <c r="F122" s="26"/>
      <c r="G122" s="26"/>
    </row>
    <row r="123" spans="1:7" ht="20.100000000000001" customHeight="1">
      <c r="A123" s="27"/>
      <c r="B123" s="23" t="s">
        <v>210</v>
      </c>
      <c r="C123" s="24"/>
      <c r="D123" s="24" t="s">
        <v>215</v>
      </c>
      <c r="E123" s="25"/>
      <c r="F123" s="26"/>
      <c r="G123" s="26"/>
    </row>
    <row r="124" spans="1:7" ht="20.100000000000001" customHeight="1">
      <c r="A124" s="27"/>
      <c r="B124" s="23" t="s">
        <v>348</v>
      </c>
      <c r="C124" s="24"/>
      <c r="D124" s="24" t="s">
        <v>215</v>
      </c>
      <c r="E124" s="25"/>
      <c r="F124" s="26"/>
      <c r="G124" s="26"/>
    </row>
    <row r="125" spans="1:7" ht="20.100000000000001" customHeight="1">
      <c r="A125" s="27"/>
      <c r="B125" s="23" t="s">
        <v>349</v>
      </c>
      <c r="C125" s="24"/>
      <c r="D125" s="24" t="s">
        <v>215</v>
      </c>
      <c r="E125" s="25"/>
      <c r="F125" s="26"/>
      <c r="G125" s="26"/>
    </row>
    <row r="126" spans="1:7" ht="20.100000000000001" customHeight="1">
      <c r="A126" s="27"/>
      <c r="B126" s="23" t="s">
        <v>122</v>
      </c>
      <c r="C126" s="24"/>
      <c r="D126" s="24" t="s">
        <v>215</v>
      </c>
      <c r="E126" s="25"/>
      <c r="F126" s="26"/>
      <c r="G126" s="26"/>
    </row>
    <row r="127" spans="1:7" ht="20.100000000000001" customHeight="1">
      <c r="A127" s="27"/>
      <c r="B127" s="23" t="s">
        <v>181</v>
      </c>
      <c r="C127" s="24"/>
      <c r="D127" s="24" t="s">
        <v>215</v>
      </c>
      <c r="E127" s="25"/>
      <c r="F127" s="26"/>
      <c r="G127" s="26"/>
    </row>
    <row r="128" spans="1:7" ht="20.100000000000001" customHeight="1">
      <c r="A128" s="27"/>
      <c r="B128" s="23" t="s">
        <v>182</v>
      </c>
      <c r="C128" s="24"/>
      <c r="D128" s="24" t="s">
        <v>215</v>
      </c>
      <c r="E128" s="25"/>
      <c r="F128" s="26"/>
      <c r="G128" s="26"/>
    </row>
    <row r="129" spans="1:7" ht="20.100000000000001" customHeight="1">
      <c r="A129" s="27"/>
      <c r="B129" s="23" t="s">
        <v>123</v>
      </c>
      <c r="C129" s="24"/>
      <c r="D129" s="24" t="s">
        <v>215</v>
      </c>
      <c r="E129" s="25"/>
      <c r="F129" s="26"/>
      <c r="G129" s="26"/>
    </row>
    <row r="130" spans="1:7" ht="20.100000000000001" customHeight="1">
      <c r="A130" s="27"/>
      <c r="B130" s="23" t="s">
        <v>170</v>
      </c>
      <c r="C130" s="24"/>
      <c r="D130" s="24" t="s">
        <v>215</v>
      </c>
      <c r="E130" s="25"/>
      <c r="F130" s="26"/>
      <c r="G130" s="26"/>
    </row>
    <row r="131" spans="1:7" ht="20.100000000000001" customHeight="1">
      <c r="A131" s="27"/>
      <c r="B131" s="23" t="s">
        <v>198</v>
      </c>
      <c r="C131" s="24"/>
      <c r="D131" s="24" t="s">
        <v>215</v>
      </c>
      <c r="E131" s="25"/>
      <c r="F131" s="26"/>
      <c r="G131" s="26"/>
    </row>
    <row r="132" spans="1:7" ht="20.100000000000001" customHeight="1">
      <c r="A132" s="27"/>
      <c r="B132" s="23" t="s">
        <v>204</v>
      </c>
      <c r="C132" s="24"/>
      <c r="D132" s="24" t="s">
        <v>215</v>
      </c>
      <c r="E132" s="25"/>
      <c r="F132" s="26"/>
      <c r="G132" s="26"/>
    </row>
    <row r="133" spans="1:7" ht="20.100000000000001" customHeight="1">
      <c r="A133" s="27"/>
      <c r="B133" s="23" t="s">
        <v>186</v>
      </c>
      <c r="C133" s="24"/>
      <c r="D133" s="24" t="s">
        <v>215</v>
      </c>
      <c r="E133" s="25"/>
      <c r="F133" s="26"/>
      <c r="G133" s="26"/>
    </row>
    <row r="134" spans="1:7" ht="34.5" customHeight="1">
      <c r="A134" s="35" t="s">
        <v>95</v>
      </c>
      <c r="B134" s="35"/>
      <c r="C134" s="41" t="e">
        <f>SUM(#REF!)</f>
        <v>#REF!</v>
      </c>
      <c r="D134" s="41"/>
      <c r="E134" s="41"/>
      <c r="F134" s="41"/>
      <c r="G134" s="41"/>
    </row>
    <row r="135" spans="1:7" ht="17.25" customHeight="1">
      <c r="A135" s="14" t="s">
        <v>13</v>
      </c>
      <c r="B135" s="15" t="s">
        <v>29</v>
      </c>
      <c r="C135" s="50">
        <f>F135*E135</f>
        <v>0</v>
      </c>
      <c r="D135" s="50"/>
      <c r="E135" s="50"/>
      <c r="F135" s="50"/>
      <c r="G135" s="50"/>
    </row>
    <row r="136" spans="1:7" ht="24" customHeight="1">
      <c r="A136" s="27"/>
      <c r="B136" s="23" t="s">
        <v>292</v>
      </c>
      <c r="C136" s="24"/>
      <c r="D136" s="24" t="s">
        <v>18</v>
      </c>
      <c r="E136" s="25"/>
      <c r="F136" s="26"/>
      <c r="G136" s="26"/>
    </row>
    <row r="137" spans="1:7" ht="15">
      <c r="A137" s="27"/>
      <c r="B137" s="23" t="s">
        <v>293</v>
      </c>
      <c r="C137" s="24"/>
      <c r="D137" s="24" t="s">
        <v>18</v>
      </c>
      <c r="E137" s="25"/>
      <c r="F137" s="26"/>
      <c r="G137" s="26"/>
    </row>
    <row r="138" spans="1:7" ht="15">
      <c r="A138" s="27"/>
      <c r="B138" s="23" t="s">
        <v>294</v>
      </c>
      <c r="C138" s="24"/>
      <c r="D138" s="24" t="s">
        <v>18</v>
      </c>
      <c r="E138" s="25"/>
      <c r="F138" s="26"/>
      <c r="G138" s="26"/>
    </row>
    <row r="139" spans="1:7" ht="15">
      <c r="A139" s="27"/>
      <c r="B139" s="23" t="s">
        <v>295</v>
      </c>
      <c r="C139" s="24"/>
      <c r="D139" s="24" t="s">
        <v>18</v>
      </c>
      <c r="E139" s="25"/>
      <c r="F139" s="26"/>
      <c r="G139" s="26"/>
    </row>
    <row r="140" spans="1:7" ht="15">
      <c r="A140" s="27"/>
      <c r="B140" s="23" t="s">
        <v>296</v>
      </c>
      <c r="C140" s="24"/>
      <c r="D140" s="24" t="s">
        <v>18</v>
      </c>
      <c r="E140" s="25"/>
      <c r="F140" s="26"/>
      <c r="G140" s="26"/>
    </row>
    <row r="141" spans="1:7" ht="15">
      <c r="A141" s="27"/>
      <c r="B141" s="23" t="s">
        <v>125</v>
      </c>
      <c r="C141" s="24"/>
      <c r="D141" s="24" t="s">
        <v>18</v>
      </c>
      <c r="E141" s="25"/>
      <c r="F141" s="26"/>
      <c r="G141" s="26"/>
    </row>
    <row r="142" spans="1:7" ht="15">
      <c r="A142" s="27"/>
      <c r="B142" s="23" t="s">
        <v>297</v>
      </c>
      <c r="C142" s="24"/>
      <c r="D142" s="24" t="s">
        <v>18</v>
      </c>
      <c r="E142" s="25"/>
      <c r="F142" s="26"/>
      <c r="G142" s="26"/>
    </row>
    <row r="143" spans="1:7" ht="15">
      <c r="A143" s="27"/>
      <c r="B143" s="23" t="s">
        <v>298</v>
      </c>
      <c r="C143" s="24"/>
      <c r="D143" s="24" t="s">
        <v>18</v>
      </c>
      <c r="E143" s="25"/>
      <c r="F143" s="26"/>
      <c r="G143" s="26"/>
    </row>
    <row r="144" spans="1:7" ht="15">
      <c r="A144" s="27"/>
      <c r="B144" s="23" t="s">
        <v>350</v>
      </c>
      <c r="C144" s="24"/>
      <c r="D144" s="24" t="s">
        <v>18</v>
      </c>
      <c r="E144" s="25"/>
      <c r="F144" s="26"/>
      <c r="G144" s="26"/>
    </row>
    <row r="145" spans="1:7" ht="15">
      <c r="A145" s="27"/>
      <c r="B145" s="23" t="s">
        <v>299</v>
      </c>
      <c r="C145" s="24"/>
      <c r="D145" s="24" t="s">
        <v>18</v>
      </c>
      <c r="E145" s="25"/>
      <c r="F145" s="26"/>
      <c r="G145" s="26"/>
    </row>
    <row r="146" spans="1:7" ht="15">
      <c r="A146" s="27"/>
      <c r="B146" s="23" t="s">
        <v>300</v>
      </c>
      <c r="C146" s="24"/>
      <c r="D146" s="24" t="s">
        <v>18</v>
      </c>
      <c r="E146" s="25"/>
      <c r="F146" s="26"/>
      <c r="G146" s="26"/>
    </row>
    <row r="147" spans="1:7" ht="16.5" customHeight="1">
      <c r="A147" s="27"/>
      <c r="B147" s="28" t="s">
        <v>351</v>
      </c>
      <c r="C147" s="24"/>
      <c r="D147" s="24" t="s">
        <v>18</v>
      </c>
      <c r="E147" s="25"/>
      <c r="F147" s="26"/>
      <c r="G147" s="26"/>
    </row>
    <row r="148" spans="1:7" ht="15">
      <c r="A148" s="27"/>
      <c r="B148" s="23" t="s">
        <v>352</v>
      </c>
      <c r="C148" s="24"/>
      <c r="D148" s="24" t="s">
        <v>18</v>
      </c>
      <c r="E148" s="25"/>
      <c r="F148" s="26"/>
      <c r="G148" s="26"/>
    </row>
    <row r="149" spans="1:7" ht="15">
      <c r="A149" s="27"/>
      <c r="B149" s="23" t="s">
        <v>353</v>
      </c>
      <c r="C149" s="24"/>
      <c r="D149" s="24" t="s">
        <v>18</v>
      </c>
      <c r="E149" s="25"/>
      <c r="F149" s="26"/>
      <c r="G149" s="26"/>
    </row>
    <row r="150" spans="1:7" ht="15">
      <c r="A150" s="27"/>
      <c r="B150" s="23" t="s">
        <v>354</v>
      </c>
      <c r="C150" s="24"/>
      <c r="D150" s="24" t="s">
        <v>18</v>
      </c>
      <c r="E150" s="25"/>
      <c r="F150" s="26"/>
      <c r="G150" s="26"/>
    </row>
    <row r="151" spans="1:7" ht="15">
      <c r="A151" s="8"/>
      <c r="B151" s="23" t="s">
        <v>355</v>
      </c>
      <c r="C151" s="24"/>
      <c r="D151" s="24" t="s">
        <v>18</v>
      </c>
      <c r="E151" s="25"/>
      <c r="F151" s="26"/>
      <c r="G151" s="26"/>
    </row>
    <row r="152" spans="1:7" ht="15">
      <c r="A152" s="8"/>
      <c r="B152" s="23" t="s">
        <v>356</v>
      </c>
      <c r="C152" s="24"/>
      <c r="D152" s="24" t="s">
        <v>18</v>
      </c>
      <c r="E152" s="25"/>
      <c r="F152" s="26"/>
      <c r="G152" s="26"/>
    </row>
    <row r="153" spans="1:7" ht="27.75" customHeight="1">
      <c r="A153" s="35" t="s">
        <v>95</v>
      </c>
      <c r="B153" s="35"/>
      <c r="C153" s="41" t="e">
        <f>SUM(#REF!)</f>
        <v>#REF!</v>
      </c>
      <c r="D153" s="41"/>
      <c r="E153" s="41"/>
      <c r="F153" s="41"/>
      <c r="G153" s="41"/>
    </row>
    <row r="154" spans="1:7" ht="20.25" customHeight="1">
      <c r="A154" s="14" t="s">
        <v>31</v>
      </c>
      <c r="B154" s="15" t="s">
        <v>44</v>
      </c>
      <c r="C154" s="50">
        <f>F154*E154</f>
        <v>0</v>
      </c>
      <c r="D154" s="50"/>
      <c r="E154" s="50"/>
      <c r="F154" s="50"/>
      <c r="G154" s="50"/>
    </row>
    <row r="155" spans="1:7" ht="15">
      <c r="A155" s="27"/>
      <c r="B155" s="28" t="s">
        <v>274</v>
      </c>
      <c r="C155" s="24"/>
      <c r="D155" s="24" t="s">
        <v>18</v>
      </c>
      <c r="E155" s="25"/>
      <c r="F155" s="26"/>
      <c r="G155" s="26"/>
    </row>
    <row r="156" spans="1:7" ht="15">
      <c r="A156" s="27"/>
      <c r="B156" s="28" t="s">
        <v>275</v>
      </c>
      <c r="C156" s="24"/>
      <c r="D156" s="24" t="s">
        <v>18</v>
      </c>
      <c r="E156" s="25"/>
      <c r="F156" s="26"/>
      <c r="G156" s="26"/>
    </row>
    <row r="157" spans="1:7" ht="15">
      <c r="A157" s="27"/>
      <c r="B157" s="28" t="s">
        <v>276</v>
      </c>
      <c r="C157" s="24"/>
      <c r="D157" s="24" t="s">
        <v>18</v>
      </c>
      <c r="E157" s="25"/>
      <c r="F157" s="26"/>
      <c r="G157" s="26"/>
    </row>
    <row r="158" spans="1:7" ht="15">
      <c r="A158" s="27"/>
      <c r="B158" s="23" t="s">
        <v>277</v>
      </c>
      <c r="C158" s="24"/>
      <c r="D158" s="24" t="s">
        <v>18</v>
      </c>
      <c r="E158" s="25"/>
      <c r="F158" s="26"/>
      <c r="G158" s="26"/>
    </row>
    <row r="159" spans="1:7" ht="15">
      <c r="A159" s="27"/>
      <c r="B159" s="23" t="s">
        <v>219</v>
      </c>
      <c r="C159" s="24"/>
      <c r="D159" s="24" t="s">
        <v>18</v>
      </c>
      <c r="E159" s="25"/>
      <c r="F159" s="26"/>
      <c r="G159" s="26"/>
    </row>
    <row r="160" spans="1:7" ht="15">
      <c r="A160" s="27"/>
      <c r="B160" s="23" t="s">
        <v>128</v>
      </c>
      <c r="C160" s="24"/>
      <c r="D160" s="24" t="s">
        <v>18</v>
      </c>
      <c r="E160" s="25"/>
      <c r="F160" s="26"/>
      <c r="G160" s="26"/>
    </row>
    <row r="161" spans="1:7" ht="15">
      <c r="A161" s="27"/>
      <c r="B161" s="23" t="s">
        <v>221</v>
      </c>
      <c r="C161" s="24"/>
      <c r="D161" s="24" t="s">
        <v>18</v>
      </c>
      <c r="E161" s="25"/>
      <c r="F161" s="26"/>
      <c r="G161" s="26"/>
    </row>
    <row r="162" spans="1:7" ht="15">
      <c r="A162" s="27"/>
      <c r="B162" s="23" t="s">
        <v>216</v>
      </c>
      <c r="C162" s="24"/>
      <c r="D162" s="24" t="s">
        <v>18</v>
      </c>
      <c r="E162" s="25"/>
      <c r="F162" s="26"/>
      <c r="G162" s="26"/>
    </row>
    <row r="163" spans="1:7" ht="15">
      <c r="A163" s="27"/>
      <c r="B163" s="23" t="s">
        <v>220</v>
      </c>
      <c r="C163" s="24"/>
      <c r="D163" s="24" t="s">
        <v>18</v>
      </c>
      <c r="E163" s="25"/>
      <c r="F163" s="26"/>
      <c r="G163" s="26"/>
    </row>
    <row r="164" spans="1:7" ht="15">
      <c r="A164" s="27"/>
      <c r="B164" s="23" t="s">
        <v>218</v>
      </c>
      <c r="C164" s="24"/>
      <c r="D164" s="24" t="s">
        <v>18</v>
      </c>
      <c r="E164" s="25"/>
      <c r="F164" s="26"/>
      <c r="G164" s="26"/>
    </row>
    <row r="165" spans="1:7" ht="15">
      <c r="A165" s="27"/>
      <c r="B165" s="23" t="s">
        <v>217</v>
      </c>
      <c r="C165" s="24"/>
      <c r="D165" s="24" t="s">
        <v>18</v>
      </c>
      <c r="E165" s="25"/>
      <c r="F165" s="26"/>
      <c r="G165" s="26"/>
    </row>
    <row r="166" spans="1:7" ht="15">
      <c r="A166" s="27"/>
      <c r="B166" s="23" t="s">
        <v>222</v>
      </c>
      <c r="C166" s="24"/>
      <c r="D166" s="24" t="s">
        <v>18</v>
      </c>
      <c r="E166" s="25"/>
      <c r="F166" s="26"/>
      <c r="G166" s="26"/>
    </row>
    <row r="167" spans="1:7" ht="15">
      <c r="A167" s="27"/>
      <c r="B167" s="23" t="s">
        <v>237</v>
      </c>
      <c r="C167" s="24"/>
      <c r="D167" s="24" t="s">
        <v>18</v>
      </c>
      <c r="E167" s="25"/>
      <c r="F167" s="26"/>
      <c r="G167" s="26"/>
    </row>
    <row r="168" spans="1:7" ht="15">
      <c r="A168" s="27"/>
      <c r="B168" s="23" t="s">
        <v>256</v>
      </c>
      <c r="C168" s="24"/>
      <c r="D168" s="24" t="s">
        <v>18</v>
      </c>
      <c r="E168" s="25"/>
      <c r="F168" s="26"/>
      <c r="G168" s="26"/>
    </row>
    <row r="169" spans="1:7" ht="15">
      <c r="A169" s="27"/>
      <c r="B169" s="23" t="s">
        <v>126</v>
      </c>
      <c r="C169" s="24"/>
      <c r="D169" s="24" t="s">
        <v>18</v>
      </c>
      <c r="E169" s="25"/>
      <c r="F169" s="26"/>
      <c r="G169" s="26"/>
    </row>
    <row r="170" spans="1:7" ht="15">
      <c r="A170" s="27"/>
      <c r="B170" s="23" t="s">
        <v>258</v>
      </c>
      <c r="C170" s="24"/>
      <c r="D170" s="24" t="s">
        <v>18</v>
      </c>
      <c r="E170" s="25"/>
      <c r="F170" s="26"/>
      <c r="G170" s="26"/>
    </row>
    <row r="171" spans="1:7" ht="15">
      <c r="A171" s="27"/>
      <c r="B171" s="23" t="s">
        <v>259</v>
      </c>
      <c r="C171" s="24"/>
      <c r="D171" s="24" t="s">
        <v>18</v>
      </c>
      <c r="E171" s="25"/>
      <c r="F171" s="26"/>
      <c r="G171" s="26"/>
    </row>
    <row r="172" spans="1:7" ht="15">
      <c r="A172" s="27"/>
      <c r="B172" s="23" t="s">
        <v>235</v>
      </c>
      <c r="C172" s="24"/>
      <c r="D172" s="24" t="s">
        <v>18</v>
      </c>
      <c r="E172" s="25"/>
      <c r="F172" s="26"/>
      <c r="G172" s="26"/>
    </row>
    <row r="173" spans="1:7" ht="15">
      <c r="A173" s="27"/>
      <c r="B173" s="23" t="s">
        <v>236</v>
      </c>
      <c r="C173" s="24"/>
      <c r="D173" s="24" t="s">
        <v>18</v>
      </c>
      <c r="E173" s="25"/>
      <c r="F173" s="26"/>
      <c r="G173" s="26"/>
    </row>
    <row r="174" spans="1:7" ht="15">
      <c r="A174" s="27"/>
      <c r="B174" s="23" t="s">
        <v>232</v>
      </c>
      <c r="C174" s="24"/>
      <c r="D174" s="24" t="s">
        <v>18</v>
      </c>
      <c r="E174" s="25"/>
      <c r="F174" s="26"/>
      <c r="G174" s="26"/>
    </row>
    <row r="175" spans="1:7" ht="15">
      <c r="A175" s="27"/>
      <c r="B175" s="23" t="s">
        <v>231</v>
      </c>
      <c r="C175" s="24"/>
      <c r="D175" s="24" t="s">
        <v>18</v>
      </c>
      <c r="E175" s="25"/>
      <c r="F175" s="26"/>
      <c r="G175" s="26"/>
    </row>
    <row r="176" spans="1:7" ht="15">
      <c r="A176" s="27"/>
      <c r="B176" s="23" t="s">
        <v>234</v>
      </c>
      <c r="C176" s="24"/>
      <c r="D176" s="24" t="s">
        <v>18</v>
      </c>
      <c r="E176" s="25"/>
      <c r="F176" s="26"/>
      <c r="G176" s="26"/>
    </row>
    <row r="177" spans="1:7" ht="15">
      <c r="A177" s="27"/>
      <c r="B177" s="23" t="s">
        <v>230</v>
      </c>
      <c r="C177" s="24"/>
      <c r="D177" s="24" t="s">
        <v>18</v>
      </c>
      <c r="E177" s="25"/>
      <c r="F177" s="26"/>
      <c r="G177" s="26"/>
    </row>
    <row r="178" spans="1:7" ht="15">
      <c r="A178" s="27"/>
      <c r="B178" s="23" t="s">
        <v>245</v>
      </c>
      <c r="C178" s="24"/>
      <c r="D178" s="24" t="s">
        <v>18</v>
      </c>
      <c r="E178" s="25"/>
      <c r="F178" s="26"/>
      <c r="G178" s="26"/>
    </row>
    <row r="179" spans="1:7" ht="15">
      <c r="A179" s="27"/>
      <c r="B179" s="23" t="s">
        <v>246</v>
      </c>
      <c r="C179" s="24"/>
      <c r="D179" s="24" t="s">
        <v>18</v>
      </c>
      <c r="E179" s="25"/>
      <c r="F179" s="26"/>
      <c r="G179" s="26"/>
    </row>
    <row r="180" spans="1:7" ht="15">
      <c r="A180" s="27"/>
      <c r="B180" s="23" t="s">
        <v>247</v>
      </c>
      <c r="C180" s="24"/>
      <c r="D180" s="24" t="s">
        <v>18</v>
      </c>
      <c r="E180" s="25"/>
      <c r="F180" s="26"/>
      <c r="G180" s="26"/>
    </row>
    <row r="181" spans="1:7" ht="15">
      <c r="A181" s="27"/>
      <c r="B181" s="23" t="s">
        <v>244</v>
      </c>
      <c r="C181" s="24"/>
      <c r="D181" s="24" t="s">
        <v>18</v>
      </c>
      <c r="E181" s="25"/>
      <c r="F181" s="26"/>
      <c r="G181" s="26"/>
    </row>
    <row r="182" spans="1:7" ht="15">
      <c r="A182" s="27"/>
      <c r="B182" s="23" t="s">
        <v>248</v>
      </c>
      <c r="C182" s="24"/>
      <c r="D182" s="24" t="s">
        <v>18</v>
      </c>
      <c r="E182" s="25"/>
      <c r="F182" s="26"/>
      <c r="G182" s="26"/>
    </row>
    <row r="183" spans="1:7" ht="15">
      <c r="A183" s="27"/>
      <c r="B183" s="23" t="s">
        <v>269</v>
      </c>
      <c r="C183" s="24"/>
      <c r="D183" s="24" t="s">
        <v>18</v>
      </c>
      <c r="E183" s="25"/>
      <c r="F183" s="26"/>
      <c r="G183" s="26"/>
    </row>
    <row r="184" spans="1:7" ht="15">
      <c r="A184" s="27"/>
      <c r="B184" s="23" t="s">
        <v>270</v>
      </c>
      <c r="C184" s="24"/>
      <c r="D184" s="24" t="s">
        <v>18</v>
      </c>
      <c r="E184" s="25"/>
      <c r="F184" s="26"/>
      <c r="G184" s="26"/>
    </row>
    <row r="185" spans="1:7" ht="15">
      <c r="A185" s="27"/>
      <c r="B185" s="23" t="s">
        <v>271</v>
      </c>
      <c r="C185" s="24"/>
      <c r="D185" s="24" t="s">
        <v>18</v>
      </c>
      <c r="E185" s="25"/>
      <c r="F185" s="26"/>
      <c r="G185" s="26"/>
    </row>
    <row r="186" spans="1:7" ht="15">
      <c r="A186" s="27"/>
      <c r="B186" s="23" t="s">
        <v>260</v>
      </c>
      <c r="C186" s="24"/>
      <c r="D186" s="24" t="s">
        <v>18</v>
      </c>
      <c r="E186" s="25"/>
      <c r="F186" s="26"/>
      <c r="G186" s="26"/>
    </row>
    <row r="187" spans="1:7" ht="15">
      <c r="A187" s="27"/>
      <c r="B187" s="23" t="s">
        <v>254</v>
      </c>
      <c r="C187" s="24"/>
      <c r="D187" s="24" t="s">
        <v>18</v>
      </c>
      <c r="E187" s="25"/>
      <c r="F187" s="26"/>
      <c r="G187" s="26"/>
    </row>
    <row r="188" spans="1:7" ht="15">
      <c r="A188" s="27"/>
      <c r="B188" s="23" t="s">
        <v>255</v>
      </c>
      <c r="C188" s="24"/>
      <c r="D188" s="24" t="s">
        <v>18</v>
      </c>
      <c r="E188" s="25"/>
      <c r="F188" s="26"/>
      <c r="G188" s="26"/>
    </row>
    <row r="189" spans="1:7" ht="15">
      <c r="A189" s="27"/>
      <c r="B189" s="23" t="s">
        <v>261</v>
      </c>
      <c r="C189" s="24"/>
      <c r="D189" s="24" t="s">
        <v>18</v>
      </c>
      <c r="E189" s="25"/>
      <c r="F189" s="26"/>
      <c r="G189" s="26"/>
    </row>
    <row r="190" spans="1:7" ht="15">
      <c r="A190" s="27"/>
      <c r="B190" s="23" t="s">
        <v>229</v>
      </c>
      <c r="C190" s="24"/>
      <c r="D190" s="24" t="s">
        <v>18</v>
      </c>
      <c r="E190" s="25"/>
      <c r="F190" s="26"/>
      <c r="G190" s="26"/>
    </row>
    <row r="191" spans="1:7" ht="15">
      <c r="A191" s="27"/>
      <c r="B191" s="23" t="s">
        <v>228</v>
      </c>
      <c r="C191" s="24"/>
      <c r="D191" s="24" t="s">
        <v>18</v>
      </c>
      <c r="E191" s="25"/>
      <c r="F191" s="26"/>
      <c r="G191" s="26"/>
    </row>
    <row r="192" spans="1:7" ht="15">
      <c r="A192" s="27"/>
      <c r="B192" s="23" t="s">
        <v>228</v>
      </c>
      <c r="C192" s="24"/>
      <c r="D192" s="24" t="s">
        <v>18</v>
      </c>
      <c r="E192" s="25"/>
      <c r="F192" s="26"/>
      <c r="G192" s="26"/>
    </row>
    <row r="193" spans="1:7" ht="16.5">
      <c r="A193" s="27"/>
      <c r="B193" s="23" t="s">
        <v>279</v>
      </c>
      <c r="C193" s="24"/>
      <c r="D193" s="24" t="s">
        <v>18</v>
      </c>
      <c r="E193" s="25"/>
      <c r="F193" s="26"/>
      <c r="G193" s="26"/>
    </row>
    <row r="194" spans="1:7" ht="15">
      <c r="A194" s="27"/>
      <c r="B194" s="23" t="s">
        <v>226</v>
      </c>
      <c r="C194" s="24"/>
      <c r="D194" s="24" t="s">
        <v>18</v>
      </c>
      <c r="E194" s="25"/>
      <c r="F194" s="26"/>
      <c r="G194" s="26"/>
    </row>
    <row r="195" spans="1:7" ht="15">
      <c r="A195" s="27"/>
      <c r="B195" s="23" t="s">
        <v>227</v>
      </c>
      <c r="C195" s="24"/>
      <c r="D195" s="24" t="s">
        <v>18</v>
      </c>
      <c r="E195" s="25"/>
      <c r="F195" s="26"/>
      <c r="G195" s="26"/>
    </row>
    <row r="196" spans="1:7" ht="15">
      <c r="A196" s="27"/>
      <c r="B196" s="23" t="s">
        <v>262</v>
      </c>
      <c r="C196" s="24"/>
      <c r="D196" s="24" t="s">
        <v>18</v>
      </c>
      <c r="E196" s="25"/>
      <c r="F196" s="26"/>
      <c r="G196" s="26"/>
    </row>
    <row r="197" spans="1:7" ht="15">
      <c r="A197" s="27"/>
      <c r="B197" s="23" t="s">
        <v>238</v>
      </c>
      <c r="C197" s="24"/>
      <c r="D197" s="24" t="s">
        <v>18</v>
      </c>
      <c r="E197" s="25"/>
      <c r="F197" s="26"/>
      <c r="G197" s="26"/>
    </row>
    <row r="198" spans="1:7" ht="15">
      <c r="A198" s="27"/>
      <c r="B198" s="23" t="s">
        <v>267</v>
      </c>
      <c r="C198" s="24"/>
      <c r="D198" s="24" t="s">
        <v>18</v>
      </c>
      <c r="E198" s="25"/>
      <c r="F198" s="26"/>
      <c r="G198" s="26"/>
    </row>
    <row r="199" spans="1:7" ht="15">
      <c r="A199" s="27"/>
      <c r="B199" s="23" t="s">
        <v>267</v>
      </c>
      <c r="C199" s="24"/>
      <c r="D199" s="24" t="s">
        <v>18</v>
      </c>
      <c r="E199" s="25"/>
      <c r="F199" s="26"/>
      <c r="G199" s="26"/>
    </row>
    <row r="200" spans="1:7" ht="15">
      <c r="A200" s="27"/>
      <c r="B200" s="23" t="s">
        <v>268</v>
      </c>
      <c r="C200" s="24"/>
      <c r="D200" s="24" t="s">
        <v>18</v>
      </c>
      <c r="E200" s="25"/>
      <c r="F200" s="26"/>
      <c r="G200" s="26"/>
    </row>
    <row r="201" spans="1:7" ht="15">
      <c r="A201" s="27"/>
      <c r="B201" s="23" t="s">
        <v>239</v>
      </c>
      <c r="C201" s="24"/>
      <c r="D201" s="24" t="s">
        <v>18</v>
      </c>
      <c r="E201" s="25"/>
      <c r="F201" s="26"/>
      <c r="G201" s="26"/>
    </row>
    <row r="202" spans="1:7" ht="15">
      <c r="A202" s="27"/>
      <c r="B202" s="23" t="s">
        <v>241</v>
      </c>
      <c r="C202" s="24"/>
      <c r="D202" s="24" t="s">
        <v>18</v>
      </c>
      <c r="E202" s="25"/>
      <c r="F202" s="26"/>
      <c r="G202" s="26"/>
    </row>
    <row r="203" spans="1:7" ht="15">
      <c r="A203" s="27"/>
      <c r="B203" s="23" t="s">
        <v>243</v>
      </c>
      <c r="C203" s="24"/>
      <c r="D203" s="24" t="s">
        <v>18</v>
      </c>
      <c r="E203" s="25"/>
      <c r="F203" s="26"/>
      <c r="G203" s="26"/>
    </row>
    <row r="204" spans="1:7" ht="15">
      <c r="A204" s="27"/>
      <c r="B204" s="23" t="s">
        <v>242</v>
      </c>
      <c r="C204" s="24"/>
      <c r="D204" s="24" t="s">
        <v>18</v>
      </c>
      <c r="E204" s="25"/>
      <c r="F204" s="26"/>
      <c r="G204" s="26"/>
    </row>
    <row r="205" spans="1:7" ht="15">
      <c r="A205" s="27"/>
      <c r="B205" s="23" t="s">
        <v>240</v>
      </c>
      <c r="C205" s="24"/>
      <c r="D205" s="24" t="s">
        <v>18</v>
      </c>
      <c r="E205" s="25"/>
      <c r="F205" s="26"/>
      <c r="G205" s="26"/>
    </row>
    <row r="206" spans="1:7" ht="15">
      <c r="A206" s="27"/>
      <c r="B206" s="23" t="s">
        <v>249</v>
      </c>
      <c r="C206" s="24"/>
      <c r="D206" s="24" t="s">
        <v>18</v>
      </c>
      <c r="E206" s="25"/>
      <c r="F206" s="26"/>
      <c r="G206" s="26"/>
    </row>
    <row r="207" spans="1:7" ht="15">
      <c r="A207" s="27"/>
      <c r="B207" s="23" t="s">
        <v>250</v>
      </c>
      <c r="C207" s="24"/>
      <c r="D207" s="24" t="s">
        <v>18</v>
      </c>
      <c r="E207" s="25"/>
      <c r="F207" s="26"/>
      <c r="G207" s="26"/>
    </row>
    <row r="208" spans="1:7" ht="15">
      <c r="A208" s="27"/>
      <c r="B208" s="23" t="s">
        <v>251</v>
      </c>
      <c r="C208" s="24"/>
      <c r="D208" s="24" t="s">
        <v>18</v>
      </c>
      <c r="E208" s="25"/>
      <c r="F208" s="26"/>
      <c r="G208" s="26"/>
    </row>
    <row r="209" spans="1:7" ht="15">
      <c r="A209" s="27"/>
      <c r="B209" s="23" t="s">
        <v>252</v>
      </c>
      <c r="C209" s="24"/>
      <c r="D209" s="24" t="s">
        <v>18</v>
      </c>
      <c r="E209" s="25"/>
      <c r="F209" s="26"/>
      <c r="G209" s="26"/>
    </row>
    <row r="210" spans="1:7" ht="15">
      <c r="A210" s="27"/>
      <c r="B210" s="23" t="s">
        <v>253</v>
      </c>
      <c r="C210" s="24"/>
      <c r="D210" s="24" t="s">
        <v>18</v>
      </c>
      <c r="E210" s="25"/>
      <c r="F210" s="26"/>
      <c r="G210" s="26"/>
    </row>
    <row r="211" spans="1:7" ht="15">
      <c r="A211" s="27"/>
      <c r="B211" s="23" t="s">
        <v>233</v>
      </c>
      <c r="C211" s="24"/>
      <c r="D211" s="24" t="s">
        <v>18</v>
      </c>
      <c r="E211" s="25"/>
      <c r="F211" s="26"/>
      <c r="G211" s="26"/>
    </row>
    <row r="212" spans="1:7" ht="15">
      <c r="A212" s="27"/>
      <c r="B212" s="23" t="s">
        <v>127</v>
      </c>
      <c r="C212" s="24"/>
      <c r="D212" s="24" t="s">
        <v>18</v>
      </c>
      <c r="E212" s="25"/>
      <c r="F212" s="26"/>
      <c r="G212" s="26"/>
    </row>
    <row r="213" spans="1:7" ht="15">
      <c r="A213" s="8"/>
      <c r="B213" s="23" t="s">
        <v>120</v>
      </c>
      <c r="C213" s="24"/>
      <c r="D213" s="24" t="s">
        <v>18</v>
      </c>
      <c r="E213" s="25"/>
      <c r="F213" s="26"/>
      <c r="G213" s="26"/>
    </row>
    <row r="214" spans="1:7" ht="15">
      <c r="A214" s="27"/>
      <c r="B214" s="23" t="s">
        <v>257</v>
      </c>
      <c r="C214" s="24"/>
      <c r="D214" s="24" t="s">
        <v>18</v>
      </c>
      <c r="E214" s="25"/>
      <c r="F214" s="26"/>
      <c r="G214" s="26"/>
    </row>
    <row r="215" spans="1:7" ht="15">
      <c r="A215" s="27"/>
      <c r="B215" s="23" t="s">
        <v>263</v>
      </c>
      <c r="C215" s="24"/>
      <c r="D215" s="24" t="s">
        <v>18</v>
      </c>
      <c r="E215" s="25"/>
      <c r="F215" s="26"/>
      <c r="G215" s="26"/>
    </row>
    <row r="216" spans="1:7" ht="15">
      <c r="A216" s="27"/>
      <c r="B216" s="23" t="s">
        <v>264</v>
      </c>
      <c r="C216" s="24"/>
      <c r="D216" s="24" t="s">
        <v>18</v>
      </c>
      <c r="E216" s="25"/>
      <c r="F216" s="26"/>
      <c r="G216" s="26"/>
    </row>
    <row r="217" spans="1:7" ht="15">
      <c r="A217" s="27"/>
      <c r="B217" s="23" t="s">
        <v>265</v>
      </c>
      <c r="C217" s="24"/>
      <c r="D217" s="24" t="s">
        <v>18</v>
      </c>
      <c r="E217" s="25"/>
      <c r="F217" s="26"/>
      <c r="G217" s="26"/>
    </row>
    <row r="218" spans="1:7" ht="15">
      <c r="A218" s="27"/>
      <c r="B218" s="23" t="s">
        <v>266</v>
      </c>
      <c r="C218" s="24"/>
      <c r="D218" s="24" t="s">
        <v>18</v>
      </c>
      <c r="E218" s="25"/>
      <c r="F218" s="26"/>
      <c r="G218" s="26"/>
    </row>
    <row r="219" spans="1:7" ht="15">
      <c r="A219" s="27"/>
      <c r="B219" s="23" t="s">
        <v>124</v>
      </c>
      <c r="C219" s="24"/>
      <c r="D219" s="24" t="s">
        <v>18</v>
      </c>
      <c r="E219" s="25"/>
      <c r="F219" s="26"/>
      <c r="G219" s="26"/>
    </row>
    <row r="220" spans="1:7" ht="15">
      <c r="A220" s="27"/>
      <c r="B220" s="23" t="s">
        <v>223</v>
      </c>
      <c r="C220" s="24"/>
      <c r="D220" s="24" t="s">
        <v>18</v>
      </c>
      <c r="E220" s="25"/>
      <c r="F220" s="26"/>
      <c r="G220" s="26"/>
    </row>
    <row r="221" spans="1:7" ht="15">
      <c r="A221" s="27"/>
      <c r="B221" s="23" t="s">
        <v>224</v>
      </c>
      <c r="C221" s="24"/>
      <c r="D221" s="24" t="s">
        <v>18</v>
      </c>
      <c r="E221" s="25"/>
      <c r="F221" s="26"/>
      <c r="G221" s="26"/>
    </row>
    <row r="222" spans="1:7" ht="15">
      <c r="A222" s="27"/>
      <c r="B222" s="23" t="s">
        <v>225</v>
      </c>
      <c r="C222" s="24"/>
      <c r="D222" s="24" t="s">
        <v>18</v>
      </c>
      <c r="E222" s="25"/>
      <c r="F222" s="26"/>
      <c r="G222" s="26"/>
    </row>
    <row r="223" spans="1:7" ht="29.25" customHeight="1">
      <c r="A223" s="35" t="s">
        <v>95</v>
      </c>
      <c r="B223" s="35"/>
      <c r="C223" s="41" t="e">
        <f>SUM(#REF!)</f>
        <v>#REF!</v>
      </c>
      <c r="D223" s="41"/>
      <c r="E223" s="41"/>
      <c r="F223" s="41"/>
      <c r="G223" s="41"/>
    </row>
    <row r="224" spans="1:7" ht="26.25" customHeight="1">
      <c r="A224" s="14" t="s">
        <v>32</v>
      </c>
      <c r="B224" s="15" t="s">
        <v>33</v>
      </c>
      <c r="C224" s="50">
        <f>F224*E224</f>
        <v>0</v>
      </c>
      <c r="D224" s="50"/>
      <c r="E224" s="50"/>
      <c r="F224" s="50"/>
      <c r="G224" s="50"/>
    </row>
    <row r="225" spans="1:7" ht="15">
      <c r="A225" s="8"/>
      <c r="B225" s="23" t="s">
        <v>357</v>
      </c>
      <c r="C225" s="24"/>
      <c r="D225" s="24" t="s">
        <v>18</v>
      </c>
      <c r="E225" s="25"/>
      <c r="F225" s="26"/>
      <c r="G225" s="26"/>
    </row>
    <row r="226" spans="1:7" ht="15">
      <c r="A226" s="27"/>
      <c r="B226" s="23" t="s">
        <v>301</v>
      </c>
      <c r="C226" s="24"/>
      <c r="D226" s="24" t="s">
        <v>18</v>
      </c>
      <c r="E226" s="25"/>
      <c r="F226" s="26"/>
      <c r="G226" s="26"/>
    </row>
    <row r="227" spans="1:7" ht="15">
      <c r="A227" s="27"/>
      <c r="B227" s="23" t="s">
        <v>302</v>
      </c>
      <c r="C227" s="24"/>
      <c r="D227" s="24" t="s">
        <v>18</v>
      </c>
      <c r="E227" s="25"/>
      <c r="F227" s="26"/>
      <c r="G227" s="26"/>
    </row>
    <row r="228" spans="1:7" ht="15">
      <c r="A228" s="8"/>
      <c r="B228" s="23" t="s">
        <v>303</v>
      </c>
      <c r="C228" s="24"/>
      <c r="D228" s="24" t="s">
        <v>18</v>
      </c>
      <c r="E228" s="25"/>
      <c r="F228" s="26"/>
      <c r="G228" s="26"/>
    </row>
    <row r="229" spans="1:7" ht="15">
      <c r="A229" s="8"/>
      <c r="B229" s="23" t="s">
        <v>304</v>
      </c>
      <c r="C229" s="24"/>
      <c r="D229" s="24" t="s">
        <v>18</v>
      </c>
      <c r="E229" s="25"/>
      <c r="F229" s="26"/>
      <c r="G229" s="26"/>
    </row>
    <row r="230" spans="1:7" ht="15">
      <c r="A230" s="8"/>
      <c r="B230" s="23" t="s">
        <v>305</v>
      </c>
      <c r="C230" s="24"/>
      <c r="D230" s="24" t="s">
        <v>18</v>
      </c>
      <c r="E230" s="25"/>
      <c r="F230" s="26"/>
      <c r="G230" s="26"/>
    </row>
    <row r="231" spans="1:7" ht="15">
      <c r="A231" s="8"/>
      <c r="B231" s="23" t="s">
        <v>306</v>
      </c>
      <c r="C231" s="24"/>
      <c r="D231" s="24" t="s">
        <v>18</v>
      </c>
      <c r="E231" s="25"/>
      <c r="F231" s="26"/>
      <c r="G231" s="26"/>
    </row>
    <row r="232" spans="1:7" ht="15">
      <c r="A232" s="8"/>
      <c r="B232" s="23" t="s">
        <v>307</v>
      </c>
      <c r="C232" s="24"/>
      <c r="D232" s="24" t="s">
        <v>18</v>
      </c>
      <c r="E232" s="25"/>
      <c r="F232" s="26"/>
      <c r="G232" s="26"/>
    </row>
    <row r="233" spans="1:7" ht="15">
      <c r="A233" s="8"/>
      <c r="B233" s="23" t="s">
        <v>308</v>
      </c>
      <c r="C233" s="24"/>
      <c r="D233" s="24" t="s">
        <v>18</v>
      </c>
      <c r="E233" s="25"/>
      <c r="F233" s="26"/>
      <c r="G233" s="26"/>
    </row>
    <row r="234" spans="1:7" ht="15">
      <c r="A234" s="8"/>
      <c r="B234" s="23" t="s">
        <v>309</v>
      </c>
      <c r="C234" s="24"/>
      <c r="D234" s="24" t="s">
        <v>18</v>
      </c>
      <c r="E234" s="25"/>
      <c r="F234" s="26"/>
      <c r="G234" s="26"/>
    </row>
    <row r="235" spans="1:7" ht="15">
      <c r="A235" s="8"/>
      <c r="B235" s="23" t="s">
        <v>310</v>
      </c>
      <c r="C235" s="24"/>
      <c r="D235" s="24" t="s">
        <v>18</v>
      </c>
      <c r="E235" s="25"/>
      <c r="F235" s="26"/>
      <c r="G235" s="26"/>
    </row>
    <row r="236" spans="1:7" ht="15">
      <c r="A236" s="8"/>
      <c r="B236" s="23" t="s">
        <v>311</v>
      </c>
      <c r="C236" s="24"/>
      <c r="D236" s="24" t="s">
        <v>18</v>
      </c>
      <c r="E236" s="25"/>
      <c r="F236" s="26"/>
      <c r="G236" s="26"/>
    </row>
    <row r="237" spans="1:7" ht="15">
      <c r="A237" s="8"/>
      <c r="B237" s="23" t="s">
        <v>312</v>
      </c>
      <c r="C237" s="24"/>
      <c r="D237" s="24" t="s">
        <v>18</v>
      </c>
      <c r="E237" s="25"/>
      <c r="F237" s="26"/>
      <c r="G237" s="26"/>
    </row>
    <row r="238" spans="1:7" ht="15">
      <c r="A238" s="27"/>
      <c r="B238" s="23" t="s">
        <v>313</v>
      </c>
      <c r="C238" s="24"/>
      <c r="D238" s="24" t="s">
        <v>18</v>
      </c>
      <c r="E238" s="25"/>
      <c r="F238" s="26"/>
      <c r="G238" s="26"/>
    </row>
    <row r="239" spans="1:7" ht="15">
      <c r="A239" s="27"/>
      <c r="B239" s="23" t="s">
        <v>314</v>
      </c>
      <c r="C239" s="24"/>
      <c r="D239" s="24" t="s">
        <v>18</v>
      </c>
      <c r="E239" s="25"/>
      <c r="F239" s="26"/>
      <c r="G239" s="26"/>
    </row>
    <row r="240" spans="1:7" ht="15">
      <c r="A240" s="8"/>
      <c r="B240" s="23" t="s">
        <v>315</v>
      </c>
      <c r="C240" s="24"/>
      <c r="D240" s="24" t="s">
        <v>18</v>
      </c>
      <c r="E240" s="25"/>
      <c r="F240" s="26"/>
      <c r="G240" s="26"/>
    </row>
    <row r="241" spans="1:7" ht="15">
      <c r="A241" s="8"/>
      <c r="B241" s="23" t="s">
        <v>316</v>
      </c>
      <c r="C241" s="24"/>
      <c r="D241" s="24" t="s">
        <v>18</v>
      </c>
      <c r="E241" s="25"/>
      <c r="F241" s="26"/>
      <c r="G241" s="26"/>
    </row>
    <row r="242" spans="1:7" ht="15">
      <c r="A242" s="8"/>
      <c r="B242" s="23" t="s">
        <v>317</v>
      </c>
      <c r="C242" s="24"/>
      <c r="D242" s="24" t="s">
        <v>18</v>
      </c>
      <c r="E242" s="25"/>
      <c r="F242" s="26"/>
      <c r="G242" s="26"/>
    </row>
    <row r="243" spans="1:7" ht="15">
      <c r="A243" s="8"/>
      <c r="B243" s="23" t="s">
        <v>318</v>
      </c>
      <c r="C243" s="24"/>
      <c r="D243" s="24" t="s">
        <v>18</v>
      </c>
      <c r="E243" s="25"/>
      <c r="F243" s="26"/>
      <c r="G243" s="26"/>
    </row>
    <row r="244" spans="1:7" ht="25.5" customHeight="1">
      <c r="A244" s="35" t="s">
        <v>95</v>
      </c>
      <c r="B244" s="35"/>
      <c r="C244" s="41" t="e">
        <f>SUM(#REF!)</f>
        <v>#REF!</v>
      </c>
      <c r="D244" s="41"/>
      <c r="E244" s="41"/>
      <c r="F244" s="41"/>
      <c r="G244" s="41"/>
    </row>
    <row r="245" spans="1:7" ht="26.25" customHeight="1">
      <c r="A245" s="14" t="s">
        <v>34</v>
      </c>
      <c r="B245" s="15" t="s">
        <v>46</v>
      </c>
      <c r="C245" s="50">
        <f>F245*E245</f>
        <v>0</v>
      </c>
      <c r="D245" s="50"/>
      <c r="E245" s="50"/>
      <c r="F245" s="50"/>
      <c r="G245" s="50"/>
    </row>
    <row r="246" spans="1:7">
      <c r="A246" s="29"/>
      <c r="B246" s="23" t="s">
        <v>157</v>
      </c>
      <c r="C246" s="24"/>
      <c r="D246" s="24" t="s">
        <v>18</v>
      </c>
      <c r="E246" s="25"/>
      <c r="F246" s="26"/>
      <c r="G246" s="26"/>
    </row>
    <row r="247" spans="1:7">
      <c r="A247" s="29"/>
      <c r="B247" s="23" t="s">
        <v>151</v>
      </c>
      <c r="C247" s="24"/>
      <c r="D247" s="24" t="s">
        <v>18</v>
      </c>
      <c r="E247" s="25"/>
      <c r="F247" s="26"/>
      <c r="G247" s="26"/>
    </row>
    <row r="248" spans="1:7">
      <c r="A248" s="29"/>
      <c r="B248" s="23" t="s">
        <v>154</v>
      </c>
      <c r="C248" s="24"/>
      <c r="D248" s="24" t="s">
        <v>18</v>
      </c>
      <c r="E248" s="25"/>
      <c r="F248" s="26"/>
      <c r="G248" s="26"/>
    </row>
    <row r="249" spans="1:7">
      <c r="A249" s="29"/>
      <c r="B249" s="23" t="s">
        <v>156</v>
      </c>
      <c r="C249" s="24"/>
      <c r="D249" s="24" t="s">
        <v>18</v>
      </c>
      <c r="E249" s="25"/>
      <c r="F249" s="26"/>
      <c r="G249" s="26"/>
    </row>
    <row r="250" spans="1:7">
      <c r="A250" s="29"/>
      <c r="B250" s="23" t="s">
        <v>272</v>
      </c>
      <c r="C250" s="24"/>
      <c r="D250" s="24" t="s">
        <v>18</v>
      </c>
      <c r="E250" s="25"/>
      <c r="F250" s="26"/>
      <c r="G250" s="26"/>
    </row>
    <row r="251" spans="1:7">
      <c r="A251" s="29"/>
      <c r="B251" s="23" t="s">
        <v>273</v>
      </c>
      <c r="C251" s="24"/>
      <c r="D251" s="24" t="s">
        <v>18</v>
      </c>
      <c r="E251" s="25"/>
      <c r="F251" s="26"/>
      <c r="G251" s="26"/>
    </row>
    <row r="252" spans="1:7">
      <c r="A252" s="29"/>
      <c r="B252" s="23" t="s">
        <v>121</v>
      </c>
      <c r="C252" s="24"/>
      <c r="D252" s="24" t="s">
        <v>18</v>
      </c>
      <c r="E252" s="25"/>
      <c r="F252" s="26"/>
      <c r="G252" s="26"/>
    </row>
    <row r="253" spans="1:7">
      <c r="A253" s="29"/>
      <c r="B253" s="23" t="s">
        <v>150</v>
      </c>
      <c r="C253" s="24"/>
      <c r="D253" s="24" t="s">
        <v>18</v>
      </c>
      <c r="E253" s="25"/>
      <c r="F253" s="26"/>
      <c r="G253" s="26"/>
    </row>
    <row r="254" spans="1:7">
      <c r="A254" s="29"/>
      <c r="B254" s="23" t="s">
        <v>152</v>
      </c>
      <c r="C254" s="24"/>
      <c r="D254" s="24" t="s">
        <v>18</v>
      </c>
      <c r="E254" s="25"/>
      <c r="F254" s="26"/>
      <c r="G254" s="26"/>
    </row>
    <row r="255" spans="1:7">
      <c r="A255" s="29"/>
      <c r="B255" s="23" t="s">
        <v>155</v>
      </c>
      <c r="C255" s="24"/>
      <c r="D255" s="24" t="s">
        <v>18</v>
      </c>
      <c r="E255" s="25"/>
      <c r="F255" s="26"/>
      <c r="G255" s="26"/>
    </row>
    <row r="256" spans="1:7">
      <c r="A256" s="29"/>
      <c r="B256" s="23" t="s">
        <v>158</v>
      </c>
      <c r="C256" s="24"/>
      <c r="D256" s="24" t="s">
        <v>18</v>
      </c>
      <c r="E256" s="25"/>
      <c r="F256" s="26"/>
      <c r="G256" s="26"/>
    </row>
    <row r="257" spans="1:7">
      <c r="A257" s="29"/>
      <c r="B257" s="23" t="s">
        <v>153</v>
      </c>
      <c r="C257" s="24"/>
      <c r="D257" s="24" t="s">
        <v>18</v>
      </c>
      <c r="E257" s="25"/>
      <c r="F257" s="26"/>
      <c r="G257" s="26"/>
    </row>
    <row r="258" spans="1:7" ht="31.5" customHeight="1">
      <c r="A258" s="35" t="s">
        <v>95</v>
      </c>
      <c r="B258" s="35"/>
      <c r="C258" s="41" t="e">
        <f>SUM(#REF!)</f>
        <v>#REF!</v>
      </c>
      <c r="D258" s="41"/>
      <c r="E258" s="41"/>
      <c r="F258" s="41"/>
      <c r="G258" s="41"/>
    </row>
    <row r="259" spans="1:7" ht="30">
      <c r="A259" s="14" t="s">
        <v>35</v>
      </c>
      <c r="B259" s="15" t="s">
        <v>47</v>
      </c>
      <c r="C259" s="50">
        <f>F259*E259</f>
        <v>0</v>
      </c>
      <c r="D259" s="50"/>
      <c r="E259" s="50"/>
      <c r="F259" s="50"/>
      <c r="G259" s="50"/>
    </row>
    <row r="260" spans="1:7" ht="15">
      <c r="A260" s="8"/>
      <c r="B260" s="23" t="s">
        <v>159</v>
      </c>
      <c r="C260" s="24"/>
      <c r="D260" s="24" t="s">
        <v>18</v>
      </c>
      <c r="E260" s="25"/>
      <c r="F260" s="26"/>
      <c r="G260" s="26"/>
    </row>
    <row r="261" spans="1:7" ht="15">
      <c r="A261" s="8"/>
      <c r="B261" s="23" t="s">
        <v>160</v>
      </c>
      <c r="C261" s="24"/>
      <c r="D261" s="24" t="s">
        <v>18</v>
      </c>
      <c r="E261" s="25"/>
      <c r="F261" s="26"/>
      <c r="G261" s="26"/>
    </row>
    <row r="262" spans="1:7" ht="15">
      <c r="A262" s="8"/>
      <c r="B262" s="23" t="s">
        <v>161</v>
      </c>
      <c r="C262" s="24"/>
      <c r="D262" s="24" t="s">
        <v>18</v>
      </c>
      <c r="E262" s="25"/>
      <c r="F262" s="26"/>
      <c r="G262" s="26"/>
    </row>
    <row r="263" spans="1:7" ht="15">
      <c r="A263" s="8"/>
      <c r="B263" s="23" t="s">
        <v>162</v>
      </c>
      <c r="C263" s="24"/>
      <c r="D263" s="24" t="s">
        <v>18</v>
      </c>
      <c r="E263" s="25"/>
      <c r="F263" s="26"/>
      <c r="G263" s="26"/>
    </row>
    <row r="264" spans="1:7" ht="15">
      <c r="A264" s="8"/>
      <c r="B264" s="23" t="s">
        <v>163</v>
      </c>
      <c r="C264" s="24"/>
      <c r="D264" s="24" t="s">
        <v>18</v>
      </c>
      <c r="E264" s="25"/>
      <c r="F264" s="26"/>
      <c r="G264" s="26"/>
    </row>
    <row r="265" spans="1:7" ht="15">
      <c r="A265" s="8"/>
      <c r="B265" s="23" t="s">
        <v>164</v>
      </c>
      <c r="C265" s="24"/>
      <c r="D265" s="24" t="s">
        <v>18</v>
      </c>
      <c r="E265" s="25"/>
      <c r="F265" s="26"/>
      <c r="G265" s="26"/>
    </row>
    <row r="266" spans="1:7" ht="15">
      <c r="A266" s="8"/>
      <c r="B266" s="23" t="s">
        <v>165</v>
      </c>
      <c r="C266" s="24"/>
      <c r="D266" s="24" t="s">
        <v>18</v>
      </c>
      <c r="E266" s="25"/>
      <c r="F266" s="26"/>
      <c r="G266" s="26"/>
    </row>
    <row r="267" spans="1:7" ht="15">
      <c r="A267" s="8"/>
      <c r="B267" s="23" t="s">
        <v>166</v>
      </c>
      <c r="C267" s="24"/>
      <c r="D267" s="24" t="s">
        <v>18</v>
      </c>
      <c r="E267" s="25"/>
      <c r="F267" s="26"/>
      <c r="G267" s="26"/>
    </row>
    <row r="268" spans="1:7" ht="15">
      <c r="A268" s="8"/>
      <c r="B268" s="23" t="s">
        <v>167</v>
      </c>
      <c r="C268" s="24"/>
      <c r="D268" s="24" t="s">
        <v>18</v>
      </c>
      <c r="E268" s="25"/>
      <c r="F268" s="26"/>
      <c r="G268" s="26"/>
    </row>
    <row r="269" spans="1:7" ht="15">
      <c r="A269" s="8"/>
      <c r="B269" s="23" t="s">
        <v>168</v>
      </c>
      <c r="C269" s="24"/>
      <c r="D269" s="24" t="s">
        <v>18</v>
      </c>
      <c r="E269" s="25"/>
      <c r="F269" s="26"/>
      <c r="G269" s="26"/>
    </row>
    <row r="270" spans="1:7" ht="15">
      <c r="A270" s="27"/>
      <c r="B270" s="23" t="s">
        <v>169</v>
      </c>
      <c r="C270" s="24"/>
      <c r="D270" s="24" t="s">
        <v>18</v>
      </c>
      <c r="E270" s="25"/>
      <c r="F270" s="26"/>
      <c r="G270" s="26"/>
    </row>
    <row r="271" spans="1:7" ht="33" customHeight="1">
      <c r="A271" s="35" t="s">
        <v>95</v>
      </c>
      <c r="B271" s="35"/>
      <c r="C271" s="41" t="e">
        <f>SUM(#REF!)</f>
        <v>#REF!</v>
      </c>
      <c r="D271" s="41"/>
      <c r="E271" s="41"/>
      <c r="F271" s="41"/>
      <c r="G271" s="41"/>
    </row>
    <row r="272" spans="1:7" ht="22.5" customHeight="1">
      <c r="A272" s="14" t="s">
        <v>36</v>
      </c>
      <c r="B272" s="15" t="s">
        <v>48</v>
      </c>
      <c r="C272" s="50">
        <f>F272*E272</f>
        <v>0</v>
      </c>
      <c r="D272" s="50"/>
      <c r="E272" s="50"/>
      <c r="F272" s="50"/>
      <c r="G272" s="50"/>
    </row>
    <row r="273" spans="1:7" ht="15">
      <c r="A273" s="8"/>
      <c r="B273" s="28" t="s">
        <v>78</v>
      </c>
      <c r="C273" s="24"/>
      <c r="D273" s="24" t="s">
        <v>18</v>
      </c>
      <c r="E273" s="25"/>
      <c r="F273" s="26"/>
      <c r="G273" s="26"/>
    </row>
    <row r="274" spans="1:7" ht="15">
      <c r="A274" s="8"/>
      <c r="B274" s="28" t="s">
        <v>76</v>
      </c>
      <c r="C274" s="24"/>
      <c r="D274" s="24" t="s">
        <v>18</v>
      </c>
      <c r="E274" s="25"/>
      <c r="F274" s="26"/>
      <c r="G274" s="26"/>
    </row>
    <row r="275" spans="1:7" ht="15">
      <c r="A275" s="8"/>
      <c r="B275" s="28" t="s">
        <v>133</v>
      </c>
      <c r="C275" s="24"/>
      <c r="D275" s="24" t="s">
        <v>18</v>
      </c>
      <c r="E275" s="25"/>
      <c r="F275" s="26"/>
      <c r="G275" s="26"/>
    </row>
    <row r="276" spans="1:7" ht="15">
      <c r="A276" s="8"/>
      <c r="B276" s="28" t="s">
        <v>134</v>
      </c>
      <c r="C276" s="24"/>
      <c r="D276" s="24" t="s">
        <v>18</v>
      </c>
      <c r="E276" s="25"/>
      <c r="F276" s="26"/>
      <c r="G276" s="26"/>
    </row>
    <row r="277" spans="1:7" ht="15">
      <c r="A277" s="8"/>
      <c r="B277" s="28" t="s">
        <v>135</v>
      </c>
      <c r="C277" s="24"/>
      <c r="D277" s="24" t="s">
        <v>18</v>
      </c>
      <c r="E277" s="25"/>
      <c r="F277" s="26"/>
      <c r="G277" s="26"/>
    </row>
    <row r="278" spans="1:7" ht="15">
      <c r="A278" s="8"/>
      <c r="B278" s="28" t="s">
        <v>77</v>
      </c>
      <c r="C278" s="24"/>
      <c r="D278" s="24" t="s">
        <v>18</v>
      </c>
      <c r="E278" s="25"/>
      <c r="F278" s="26"/>
      <c r="G278" s="26"/>
    </row>
    <row r="279" spans="1:7" ht="15">
      <c r="A279" s="8"/>
      <c r="B279" s="28" t="s">
        <v>79</v>
      </c>
      <c r="C279" s="24"/>
      <c r="D279" s="24" t="s">
        <v>18</v>
      </c>
      <c r="E279" s="25"/>
      <c r="F279" s="26"/>
      <c r="G279" s="26"/>
    </row>
    <row r="280" spans="1:7" ht="15">
      <c r="A280" s="8"/>
      <c r="B280" s="28" t="s">
        <v>80</v>
      </c>
      <c r="C280" s="24"/>
      <c r="D280" s="24" t="s">
        <v>18</v>
      </c>
      <c r="E280" s="25"/>
      <c r="F280" s="26"/>
      <c r="G280" s="26"/>
    </row>
    <row r="281" spans="1:7" ht="15">
      <c r="A281" s="8"/>
      <c r="B281" s="28" t="s">
        <v>81</v>
      </c>
      <c r="C281" s="24"/>
      <c r="D281" s="24" t="s">
        <v>18</v>
      </c>
      <c r="E281" s="25"/>
      <c r="F281" s="26"/>
      <c r="G281" s="26"/>
    </row>
    <row r="282" spans="1:7" ht="15">
      <c r="A282" s="8"/>
      <c r="B282" s="28" t="s">
        <v>82</v>
      </c>
      <c r="C282" s="24"/>
      <c r="D282" s="24" t="s">
        <v>18</v>
      </c>
      <c r="E282" s="25"/>
      <c r="F282" s="26"/>
      <c r="G282" s="26"/>
    </row>
    <row r="283" spans="1:7" ht="15">
      <c r="A283" s="8"/>
      <c r="B283" s="28" t="s">
        <v>83</v>
      </c>
      <c r="C283" s="24"/>
      <c r="D283" s="24" t="s">
        <v>18</v>
      </c>
      <c r="E283" s="25"/>
      <c r="F283" s="26"/>
      <c r="G283" s="26"/>
    </row>
    <row r="284" spans="1:7" ht="15">
      <c r="A284" s="8"/>
      <c r="B284" s="28" t="s">
        <v>84</v>
      </c>
      <c r="C284" s="24"/>
      <c r="D284" s="24" t="s">
        <v>18</v>
      </c>
      <c r="E284" s="25"/>
      <c r="F284" s="26"/>
      <c r="G284" s="26"/>
    </row>
    <row r="285" spans="1:7" ht="15">
      <c r="A285" s="8"/>
      <c r="B285" s="28" t="s">
        <v>85</v>
      </c>
      <c r="C285" s="24"/>
      <c r="D285" s="24" t="s">
        <v>18</v>
      </c>
      <c r="E285" s="25"/>
      <c r="F285" s="26"/>
      <c r="G285" s="26"/>
    </row>
    <row r="286" spans="1:7" ht="15">
      <c r="A286" s="8"/>
      <c r="B286" s="28" t="s">
        <v>86</v>
      </c>
      <c r="C286" s="24"/>
      <c r="D286" s="24" t="s">
        <v>18</v>
      </c>
      <c r="E286" s="25"/>
      <c r="F286" s="26"/>
      <c r="G286" s="26"/>
    </row>
    <row r="287" spans="1:7" ht="15">
      <c r="A287" s="8"/>
      <c r="B287" s="28" t="s">
        <v>87</v>
      </c>
      <c r="C287" s="24"/>
      <c r="D287" s="24" t="s">
        <v>18</v>
      </c>
      <c r="E287" s="25"/>
      <c r="F287" s="26"/>
      <c r="G287" s="26"/>
    </row>
    <row r="288" spans="1:7" ht="15">
      <c r="A288" s="8"/>
      <c r="B288" s="28" t="s">
        <v>88</v>
      </c>
      <c r="C288" s="24"/>
      <c r="D288" s="24" t="s">
        <v>18</v>
      </c>
      <c r="E288" s="25"/>
      <c r="F288" s="26"/>
      <c r="G288" s="26"/>
    </row>
    <row r="289" spans="1:7" ht="15">
      <c r="A289" s="8"/>
      <c r="B289" s="28" t="s">
        <v>211</v>
      </c>
      <c r="C289" s="24"/>
      <c r="D289" s="24" t="s">
        <v>18</v>
      </c>
      <c r="E289" s="25"/>
      <c r="F289" s="26"/>
      <c r="G289" s="26"/>
    </row>
    <row r="290" spans="1:7" ht="15">
      <c r="A290" s="8"/>
      <c r="B290" s="28" t="s">
        <v>89</v>
      </c>
      <c r="C290" s="24"/>
      <c r="D290" s="24" t="s">
        <v>18</v>
      </c>
      <c r="E290" s="25"/>
      <c r="F290" s="26"/>
      <c r="G290" s="26"/>
    </row>
    <row r="291" spans="1:7" ht="28.5" customHeight="1">
      <c r="A291" s="35" t="s">
        <v>95</v>
      </c>
      <c r="B291" s="35"/>
      <c r="C291" s="41" t="e">
        <f>SUM(#REF!)</f>
        <v>#REF!</v>
      </c>
      <c r="D291" s="41"/>
      <c r="E291" s="41"/>
      <c r="F291" s="41"/>
      <c r="G291" s="41"/>
    </row>
    <row r="292" spans="1:7" ht="18" customHeight="1">
      <c r="A292" s="14" t="s">
        <v>51</v>
      </c>
      <c r="B292" s="15" t="s">
        <v>22</v>
      </c>
      <c r="C292" s="50">
        <f>F292*E292</f>
        <v>0</v>
      </c>
      <c r="D292" s="50"/>
      <c r="E292" s="50"/>
      <c r="F292" s="50"/>
      <c r="G292" s="50"/>
    </row>
    <row r="293" spans="1:7" ht="86.25" customHeight="1">
      <c r="A293" s="29"/>
      <c r="B293" s="31" t="s">
        <v>50</v>
      </c>
      <c r="C293" s="10"/>
      <c r="D293" s="10" t="s">
        <v>23</v>
      </c>
      <c r="E293" s="11"/>
      <c r="F293" s="12"/>
      <c r="G293" s="12"/>
    </row>
    <row r="294" spans="1:7" ht="30.75" customHeight="1">
      <c r="A294" s="35" t="s">
        <v>95</v>
      </c>
      <c r="B294" s="35"/>
      <c r="C294" s="41" t="e">
        <f>#REF!</f>
        <v>#REF!</v>
      </c>
      <c r="D294" s="41"/>
      <c r="E294" s="41"/>
      <c r="F294" s="41"/>
      <c r="G294" s="41"/>
    </row>
    <row r="295" spans="1:7" ht="15">
      <c r="A295" s="14" t="s">
        <v>52</v>
      </c>
      <c r="B295" s="15" t="s">
        <v>25</v>
      </c>
      <c r="C295" s="50">
        <f>F295*E295</f>
        <v>0</v>
      </c>
      <c r="D295" s="50"/>
      <c r="E295" s="50"/>
      <c r="F295" s="50"/>
      <c r="G295" s="50"/>
    </row>
    <row r="296" spans="1:7" ht="23.25" customHeight="1">
      <c r="A296" s="8"/>
      <c r="B296" s="32" t="s">
        <v>358</v>
      </c>
      <c r="C296" s="24"/>
      <c r="D296" s="24" t="s">
        <v>26</v>
      </c>
      <c r="E296" s="25"/>
      <c r="F296" s="26"/>
      <c r="G296" s="26"/>
    </row>
    <row r="297" spans="1:7" ht="27" customHeight="1">
      <c r="A297" s="8"/>
      <c r="B297" s="32" t="s">
        <v>129</v>
      </c>
      <c r="C297" s="24"/>
      <c r="D297" s="24" t="s">
        <v>23</v>
      </c>
      <c r="E297" s="25"/>
      <c r="F297" s="26"/>
      <c r="G297" s="26"/>
    </row>
    <row r="298" spans="1:7" ht="27.75" customHeight="1">
      <c r="A298" s="35" t="s">
        <v>95</v>
      </c>
      <c r="B298" s="35"/>
      <c r="C298" s="41" t="e">
        <f>#REF!</f>
        <v>#REF!</v>
      </c>
      <c r="D298" s="41"/>
      <c r="E298" s="41"/>
      <c r="F298" s="41"/>
      <c r="G298" s="41"/>
    </row>
    <row r="299" spans="1:7" ht="15">
      <c r="A299" s="14" t="s">
        <v>90</v>
      </c>
      <c r="B299" s="15" t="s">
        <v>75</v>
      </c>
      <c r="C299" s="50">
        <f>F299*E299</f>
        <v>0</v>
      </c>
      <c r="D299" s="50"/>
      <c r="E299" s="50"/>
      <c r="F299" s="50"/>
      <c r="G299" s="50"/>
    </row>
    <row r="300" spans="1:7" ht="15">
      <c r="A300" s="8"/>
      <c r="B300" s="28" t="s">
        <v>132</v>
      </c>
      <c r="C300" s="24"/>
      <c r="D300" s="24" t="s">
        <v>18</v>
      </c>
      <c r="E300" s="25"/>
      <c r="F300" s="26"/>
      <c r="G300" s="26"/>
    </row>
    <row r="301" spans="1:7" ht="15">
      <c r="A301" s="8"/>
      <c r="B301" s="28" t="s">
        <v>131</v>
      </c>
      <c r="C301" s="24"/>
      <c r="D301" s="24" t="s">
        <v>18</v>
      </c>
      <c r="E301" s="25"/>
      <c r="F301" s="26"/>
      <c r="G301" s="26"/>
    </row>
    <row r="302" spans="1:7" ht="15">
      <c r="A302" s="8"/>
      <c r="B302" s="28" t="s">
        <v>326</v>
      </c>
      <c r="C302" s="24"/>
      <c r="D302" s="24" t="s">
        <v>18</v>
      </c>
      <c r="E302" s="25"/>
      <c r="F302" s="26"/>
      <c r="G302" s="26"/>
    </row>
    <row r="303" spans="1:7" ht="15">
      <c r="A303" s="8"/>
      <c r="B303" s="28" t="s">
        <v>327</v>
      </c>
      <c r="C303" s="24"/>
      <c r="D303" s="24" t="s">
        <v>18</v>
      </c>
      <c r="E303" s="25"/>
      <c r="F303" s="26"/>
      <c r="G303" s="26"/>
    </row>
    <row r="304" spans="1:7" ht="15">
      <c r="A304" s="8"/>
      <c r="B304" s="28" t="s">
        <v>130</v>
      </c>
      <c r="C304" s="24"/>
      <c r="D304" s="24" t="s">
        <v>18</v>
      </c>
      <c r="E304" s="25"/>
      <c r="F304" s="26"/>
      <c r="G304" s="26"/>
    </row>
    <row r="305" spans="1:7" ht="30.75" customHeight="1">
      <c r="A305" s="35" t="s">
        <v>95</v>
      </c>
      <c r="B305" s="35"/>
      <c r="C305" s="41" t="e">
        <f>#REF!+#REF!</f>
        <v>#REF!</v>
      </c>
      <c r="D305" s="41"/>
      <c r="E305" s="41"/>
      <c r="F305" s="41"/>
      <c r="G305" s="41"/>
    </row>
    <row r="306" spans="1:7" ht="30">
      <c r="A306" s="14" t="s">
        <v>91</v>
      </c>
      <c r="B306" s="15" t="s">
        <v>278</v>
      </c>
      <c r="C306" s="50">
        <f>F306*E306</f>
        <v>0</v>
      </c>
      <c r="D306" s="50"/>
      <c r="E306" s="50"/>
      <c r="F306" s="50"/>
      <c r="G306" s="50"/>
    </row>
    <row r="307" spans="1:7" ht="158.25" customHeight="1">
      <c r="A307" s="8"/>
      <c r="B307" s="30" t="s">
        <v>359</v>
      </c>
      <c r="C307" s="24"/>
      <c r="D307" s="24" t="s">
        <v>17</v>
      </c>
      <c r="E307" s="25">
        <v>1</v>
      </c>
      <c r="F307" s="26"/>
      <c r="G307" s="26"/>
    </row>
    <row r="308" spans="1:7" ht="30.75" customHeight="1">
      <c r="A308" s="35" t="s">
        <v>95</v>
      </c>
      <c r="B308" s="35"/>
      <c r="C308" s="41"/>
      <c r="D308" s="41"/>
      <c r="E308" s="41"/>
      <c r="F308" s="41"/>
      <c r="G308" s="41"/>
    </row>
    <row r="309" spans="1:7" ht="30">
      <c r="A309" s="14" t="s">
        <v>92</v>
      </c>
      <c r="B309" s="15" t="s">
        <v>93</v>
      </c>
      <c r="C309" s="50">
        <f>F309*E309</f>
        <v>0</v>
      </c>
      <c r="D309" s="50"/>
      <c r="E309" s="50"/>
      <c r="F309" s="50"/>
      <c r="G309" s="50"/>
    </row>
    <row r="310" spans="1:7" ht="132" customHeight="1">
      <c r="A310" s="8"/>
      <c r="B310" s="33" t="s">
        <v>364</v>
      </c>
      <c r="C310" s="24"/>
      <c r="D310" s="24" t="s">
        <v>17</v>
      </c>
      <c r="E310" s="25">
        <v>1</v>
      </c>
      <c r="F310" s="26"/>
      <c r="G310" s="26"/>
    </row>
    <row r="311" spans="1:7" ht="30.75" customHeight="1">
      <c r="A311" s="35" t="s">
        <v>95</v>
      </c>
      <c r="B311" s="35"/>
      <c r="C311" s="41"/>
      <c r="D311" s="41"/>
      <c r="E311" s="41"/>
      <c r="F311" s="41"/>
      <c r="G311" s="41"/>
    </row>
    <row r="312" spans="1:7" ht="30">
      <c r="A312" s="14" t="s">
        <v>92</v>
      </c>
      <c r="B312" s="15" t="s">
        <v>94</v>
      </c>
      <c r="C312" s="50">
        <f>F312*E312</f>
        <v>0</v>
      </c>
      <c r="D312" s="50"/>
      <c r="E312" s="50"/>
      <c r="F312" s="50"/>
      <c r="G312" s="50"/>
    </row>
    <row r="313" spans="1:7" ht="138" customHeight="1">
      <c r="A313" s="8"/>
      <c r="B313" s="33" t="s">
        <v>365</v>
      </c>
      <c r="C313" s="24"/>
      <c r="D313" s="24" t="s">
        <v>17</v>
      </c>
      <c r="E313" s="25">
        <v>1</v>
      </c>
      <c r="F313" s="26"/>
      <c r="G313" s="26"/>
    </row>
    <row r="314" spans="1:7" ht="36.75" customHeight="1">
      <c r="A314" s="35" t="s">
        <v>328</v>
      </c>
      <c r="B314" s="35"/>
      <c r="C314" s="35"/>
      <c r="D314" s="35"/>
      <c r="E314" s="35"/>
      <c r="F314" s="35"/>
      <c r="G314" s="35"/>
    </row>
    <row r="315" spans="1:7" ht="27" customHeight="1">
      <c r="A315" s="58" t="s">
        <v>6</v>
      </c>
      <c r="B315" s="58"/>
      <c r="C315" s="58"/>
      <c r="D315" s="58"/>
      <c r="E315" s="58"/>
      <c r="F315" s="58"/>
      <c r="G315" s="58"/>
    </row>
    <row r="316" spans="1:7" ht="18" customHeight="1">
      <c r="A316" s="19" t="s">
        <v>7</v>
      </c>
      <c r="B316" s="57" t="s">
        <v>8</v>
      </c>
      <c r="C316" s="57"/>
      <c r="D316" s="57"/>
      <c r="E316" s="57"/>
      <c r="F316" s="57"/>
      <c r="G316" s="57"/>
    </row>
    <row r="317" spans="1:7" ht="24.75" customHeight="1">
      <c r="A317" s="8" t="str">
        <f>A8</f>
        <v>I.</v>
      </c>
      <c r="B317" s="36" t="str">
        <f>B8</f>
        <v xml:space="preserve">TRAVAUX PRELIMINAIRES </v>
      </c>
      <c r="C317" s="36"/>
      <c r="D317" s="36"/>
      <c r="E317" s="36"/>
      <c r="F317" s="36"/>
      <c r="G317" s="36"/>
    </row>
    <row r="318" spans="1:7" ht="23.25" customHeight="1">
      <c r="A318" s="10" t="s">
        <v>16</v>
      </c>
      <c r="B318" s="37" t="s">
        <v>53</v>
      </c>
      <c r="C318" s="37"/>
      <c r="D318" s="37"/>
      <c r="E318" s="37"/>
      <c r="F318" s="43"/>
      <c r="G318" s="43"/>
    </row>
    <row r="319" spans="1:7" ht="23.25" customHeight="1">
      <c r="A319" s="10" t="s">
        <v>14</v>
      </c>
      <c r="B319" s="37" t="s">
        <v>55</v>
      </c>
      <c r="C319" s="37"/>
      <c r="D319" s="37"/>
      <c r="E319" s="37"/>
      <c r="F319" s="43"/>
      <c r="G319" s="43"/>
    </row>
    <row r="320" spans="1:7" ht="23.25" customHeight="1">
      <c r="A320" s="10" t="s">
        <v>15</v>
      </c>
      <c r="B320" s="37" t="s">
        <v>39</v>
      </c>
      <c r="C320" s="37"/>
      <c r="D320" s="37"/>
      <c r="E320" s="37"/>
      <c r="F320" s="43"/>
      <c r="G320" s="43"/>
    </row>
    <row r="321" spans="1:7" ht="23.25" customHeight="1">
      <c r="A321" s="10" t="s">
        <v>21</v>
      </c>
      <c r="B321" s="37" t="s">
        <v>56</v>
      </c>
      <c r="C321" s="37"/>
      <c r="D321" s="37"/>
      <c r="E321" s="37"/>
      <c r="F321" s="43"/>
      <c r="G321" s="43"/>
    </row>
    <row r="322" spans="1:7" ht="23.25" customHeight="1">
      <c r="A322" s="10" t="s">
        <v>37</v>
      </c>
      <c r="B322" s="37" t="s">
        <v>58</v>
      </c>
      <c r="C322" s="37"/>
      <c r="D322" s="37"/>
      <c r="E322" s="37"/>
      <c r="F322" s="43"/>
      <c r="G322" s="43"/>
    </row>
    <row r="323" spans="1:7" ht="23.25" customHeight="1">
      <c r="A323" s="10" t="s">
        <v>38</v>
      </c>
      <c r="B323" s="37" t="s">
        <v>57</v>
      </c>
      <c r="C323" s="37"/>
      <c r="D323" s="37"/>
      <c r="E323" s="37"/>
      <c r="F323" s="43"/>
      <c r="G323" s="43"/>
    </row>
    <row r="324" spans="1:7" ht="23.25" customHeight="1">
      <c r="A324" s="10" t="s">
        <v>43</v>
      </c>
      <c r="B324" s="37" t="s">
        <v>96</v>
      </c>
      <c r="C324" s="37"/>
      <c r="D324" s="37"/>
      <c r="E324" s="37"/>
      <c r="F324" s="43"/>
      <c r="G324" s="43"/>
    </row>
    <row r="325" spans="1:7" ht="23.25" customHeight="1">
      <c r="A325" s="10" t="s">
        <v>73</v>
      </c>
      <c r="B325" s="37" t="s">
        <v>59</v>
      </c>
      <c r="C325" s="37"/>
      <c r="D325" s="37"/>
      <c r="E325" s="37"/>
      <c r="F325" s="43"/>
      <c r="G325" s="43"/>
    </row>
    <row r="326" spans="1:7" ht="23.25" customHeight="1">
      <c r="A326" s="10" t="s">
        <v>146</v>
      </c>
      <c r="B326" s="37" t="s">
        <v>148</v>
      </c>
      <c r="C326" s="37"/>
      <c r="D326" s="37"/>
      <c r="E326" s="37"/>
      <c r="F326" s="43"/>
      <c r="G326" s="43"/>
    </row>
    <row r="327" spans="1:7" s="1" customFormat="1" ht="30" customHeight="1">
      <c r="A327" s="54" t="s">
        <v>329</v>
      </c>
      <c r="B327" s="55"/>
      <c r="C327" s="55"/>
      <c r="D327" s="55"/>
      <c r="E327" s="56"/>
      <c r="F327" s="35"/>
      <c r="G327" s="35"/>
    </row>
    <row r="328" spans="1:7" ht="33" customHeight="1">
      <c r="A328" s="8" t="str">
        <f>A23</f>
        <v>II.</v>
      </c>
      <c r="B328" s="36" t="s">
        <v>97</v>
      </c>
      <c r="C328" s="36"/>
      <c r="D328" s="36"/>
      <c r="E328" s="36"/>
      <c r="F328" s="36"/>
      <c r="G328" s="36"/>
    </row>
    <row r="329" spans="1:7" ht="24.75" customHeight="1">
      <c r="A329" s="10" t="s">
        <v>1</v>
      </c>
      <c r="B329" s="37" t="s">
        <v>60</v>
      </c>
      <c r="C329" s="37"/>
      <c r="D329" s="37"/>
      <c r="E329" s="37"/>
      <c r="F329" s="43"/>
      <c r="G329" s="43"/>
    </row>
    <row r="330" spans="1:7" ht="24.75" customHeight="1">
      <c r="A330" s="10" t="s">
        <v>2</v>
      </c>
      <c r="B330" s="37" t="s">
        <v>61</v>
      </c>
      <c r="C330" s="37"/>
      <c r="D330" s="37"/>
      <c r="E330" s="37"/>
      <c r="F330" s="43"/>
      <c r="G330" s="43"/>
    </row>
    <row r="331" spans="1:7" ht="24.75" customHeight="1">
      <c r="A331" s="10" t="str">
        <f>+A46</f>
        <v>II.3</v>
      </c>
      <c r="B331" s="37" t="s">
        <v>62</v>
      </c>
      <c r="C331" s="37"/>
      <c r="D331" s="37"/>
      <c r="E331" s="37"/>
      <c r="F331" s="43"/>
      <c r="G331" s="43"/>
    </row>
    <row r="332" spans="1:7" ht="24.75" customHeight="1">
      <c r="A332" s="10" t="str">
        <f>+A60</f>
        <v>II.4</v>
      </c>
      <c r="B332" s="37" t="s">
        <v>70</v>
      </c>
      <c r="C332" s="37"/>
      <c r="D332" s="37"/>
      <c r="E332" s="37"/>
      <c r="F332" s="43"/>
      <c r="G332" s="43"/>
    </row>
    <row r="333" spans="1:7" ht="24.75" customHeight="1">
      <c r="A333" s="10" t="str">
        <f>A74</f>
        <v>II.5</v>
      </c>
      <c r="B333" s="37" t="s">
        <v>63</v>
      </c>
      <c r="C333" s="37"/>
      <c r="D333" s="37"/>
      <c r="E333" s="37"/>
      <c r="F333" s="43"/>
      <c r="G333" s="43"/>
    </row>
    <row r="334" spans="1:7" ht="24.75" customHeight="1">
      <c r="A334" s="10" t="s">
        <v>13</v>
      </c>
      <c r="B334" s="37" t="s">
        <v>64</v>
      </c>
      <c r="C334" s="37"/>
      <c r="D334" s="37"/>
      <c r="E334" s="37"/>
      <c r="F334" s="43"/>
      <c r="G334" s="43"/>
    </row>
    <row r="335" spans="1:7" ht="24.75" customHeight="1">
      <c r="A335" s="10" t="str">
        <f>+A154</f>
        <v>II.7</v>
      </c>
      <c r="B335" s="37" t="s">
        <v>65</v>
      </c>
      <c r="C335" s="37"/>
      <c r="D335" s="37"/>
      <c r="E335" s="37"/>
      <c r="F335" s="43"/>
      <c r="G335" s="43"/>
    </row>
    <row r="336" spans="1:7" ht="24.75" customHeight="1">
      <c r="A336" s="10" t="str">
        <f>+A224</f>
        <v>II.8</v>
      </c>
      <c r="B336" s="37" t="s">
        <v>66</v>
      </c>
      <c r="C336" s="37"/>
      <c r="D336" s="37"/>
      <c r="E336" s="37"/>
      <c r="F336" s="43"/>
      <c r="G336" s="43"/>
    </row>
    <row r="337" spans="1:7" ht="24.75" customHeight="1">
      <c r="A337" s="10" t="str">
        <f>+A245</f>
        <v>II.9</v>
      </c>
      <c r="B337" s="37" t="s">
        <v>67</v>
      </c>
      <c r="C337" s="37"/>
      <c r="D337" s="37"/>
      <c r="E337" s="37"/>
      <c r="F337" s="43"/>
      <c r="G337" s="43"/>
    </row>
    <row r="338" spans="1:7" ht="24.75" customHeight="1">
      <c r="A338" s="10" t="str">
        <f>+A259</f>
        <v>II.10</v>
      </c>
      <c r="B338" s="37" t="s">
        <v>68</v>
      </c>
      <c r="C338" s="37"/>
      <c r="D338" s="37"/>
      <c r="E338" s="37"/>
      <c r="F338" s="43"/>
      <c r="G338" s="43"/>
    </row>
    <row r="339" spans="1:7" ht="24.75" customHeight="1">
      <c r="A339" s="10" t="s">
        <v>36</v>
      </c>
      <c r="B339" s="37" t="s">
        <v>69</v>
      </c>
      <c r="C339" s="37"/>
      <c r="D339" s="37"/>
      <c r="E339" s="37"/>
      <c r="F339" s="43"/>
      <c r="G339" s="43"/>
    </row>
    <row r="340" spans="1:7" ht="24.75" customHeight="1">
      <c r="A340" s="10" t="s">
        <v>49</v>
      </c>
      <c r="B340" s="37" t="s">
        <v>71</v>
      </c>
      <c r="C340" s="37"/>
      <c r="D340" s="37"/>
      <c r="E340" s="37"/>
      <c r="F340" s="43"/>
      <c r="G340" s="43"/>
    </row>
    <row r="341" spans="1:7" ht="24.75" customHeight="1">
      <c r="A341" s="10" t="s">
        <v>51</v>
      </c>
      <c r="B341" s="37" t="s">
        <v>72</v>
      </c>
      <c r="C341" s="37"/>
      <c r="D341" s="37"/>
      <c r="E341" s="37"/>
      <c r="F341" s="43"/>
      <c r="G341" s="43"/>
    </row>
    <row r="342" spans="1:7" ht="24.75" customHeight="1">
      <c r="A342" s="10" t="s">
        <v>52</v>
      </c>
      <c r="B342" s="37" t="s">
        <v>98</v>
      </c>
      <c r="C342" s="37"/>
      <c r="D342" s="37"/>
      <c r="E342" s="37"/>
      <c r="F342" s="43"/>
      <c r="G342" s="43"/>
    </row>
    <row r="343" spans="1:7" ht="24.75" customHeight="1">
      <c r="A343" s="10" t="s">
        <v>90</v>
      </c>
      <c r="B343" s="37" t="s">
        <v>99</v>
      </c>
      <c r="C343" s="37"/>
      <c r="D343" s="37"/>
      <c r="E343" s="37"/>
      <c r="F343" s="43"/>
      <c r="G343" s="43"/>
    </row>
    <row r="344" spans="1:7" ht="24.75" customHeight="1">
      <c r="A344" s="10" t="s">
        <v>91</v>
      </c>
      <c r="B344" s="37" t="s">
        <v>101</v>
      </c>
      <c r="C344" s="37"/>
      <c r="D344" s="37"/>
      <c r="E344" s="37"/>
      <c r="F344" s="43"/>
      <c r="G344" s="43"/>
    </row>
    <row r="345" spans="1:7" ht="24.75" customHeight="1">
      <c r="A345" s="10" t="s">
        <v>92</v>
      </c>
      <c r="B345" s="37" t="s">
        <v>100</v>
      </c>
      <c r="C345" s="37"/>
      <c r="D345" s="37"/>
      <c r="E345" s="37"/>
      <c r="F345" s="43"/>
      <c r="G345" s="43"/>
    </row>
    <row r="346" spans="1:7" ht="37.5" customHeight="1">
      <c r="A346" s="35" t="s">
        <v>330</v>
      </c>
      <c r="B346" s="35"/>
      <c r="C346" s="35"/>
      <c r="D346" s="35"/>
      <c r="E346" s="35"/>
      <c r="F346" s="35"/>
      <c r="G346" s="35"/>
    </row>
    <row r="347" spans="1:7" ht="34.5" customHeight="1">
      <c r="A347" s="35" t="s">
        <v>370</v>
      </c>
      <c r="B347" s="35"/>
      <c r="C347" s="35"/>
      <c r="D347" s="35"/>
      <c r="E347" s="35"/>
      <c r="F347" s="35"/>
      <c r="G347" s="35"/>
    </row>
    <row r="348" spans="1:7" ht="41.25" customHeight="1">
      <c r="A348" s="65" t="s">
        <v>331</v>
      </c>
      <c r="B348" s="66"/>
      <c r="C348" s="66"/>
      <c r="D348" s="66"/>
      <c r="E348" s="66"/>
      <c r="F348" s="66"/>
      <c r="G348" s="67"/>
    </row>
    <row r="349" spans="1:7" ht="27.75" customHeight="1">
      <c r="A349" s="38" t="s">
        <v>332</v>
      </c>
      <c r="B349" s="39"/>
      <c r="C349" s="39"/>
      <c r="D349" s="39"/>
      <c r="E349" s="39"/>
      <c r="F349" s="39"/>
      <c r="G349" s="39"/>
    </row>
    <row r="350" spans="1:7" ht="27.75" customHeight="1">
      <c r="A350" s="38" t="s">
        <v>333</v>
      </c>
      <c r="B350" s="39"/>
      <c r="C350" s="39"/>
      <c r="D350" s="39"/>
      <c r="E350" s="39"/>
      <c r="F350" s="39"/>
      <c r="G350" s="39"/>
    </row>
    <row r="351" spans="1:7" ht="31.5" customHeight="1">
      <c r="A351" s="38" t="s">
        <v>367</v>
      </c>
      <c r="B351" s="39"/>
      <c r="C351" s="39"/>
      <c r="D351" s="39"/>
      <c r="E351" s="39"/>
      <c r="F351" s="39"/>
      <c r="G351" s="40"/>
    </row>
    <row r="352" spans="1:7" ht="31.5" customHeight="1">
      <c r="A352" s="38" t="s">
        <v>368</v>
      </c>
      <c r="B352" s="39"/>
      <c r="C352" s="39"/>
      <c r="D352" s="39"/>
      <c r="E352" s="39"/>
      <c r="F352" s="39"/>
      <c r="G352" s="40"/>
    </row>
    <row r="353" spans="1:7" ht="31.5" customHeight="1">
      <c r="A353" s="38" t="s">
        <v>369</v>
      </c>
      <c r="B353" s="39"/>
      <c r="C353" s="39"/>
      <c r="D353" s="39"/>
      <c r="E353" s="39"/>
      <c r="F353" s="39"/>
      <c r="G353" s="40"/>
    </row>
    <row r="354" spans="1:7" ht="15">
      <c r="A354" s="3"/>
    </row>
    <row r="355" spans="1:7" ht="15">
      <c r="A355" s="3"/>
    </row>
    <row r="356" spans="1:7" ht="15">
      <c r="A356" s="3"/>
    </row>
  </sheetData>
  <mergeCells count="150">
    <mergeCell ref="A351:G351"/>
    <mergeCell ref="A352:G352"/>
    <mergeCell ref="A353:G353"/>
    <mergeCell ref="B343:E343"/>
    <mergeCell ref="F343:G343"/>
    <mergeCell ref="B344:E344"/>
    <mergeCell ref="F344:G344"/>
    <mergeCell ref="B345:E345"/>
    <mergeCell ref="F345:G345"/>
    <mergeCell ref="F346:G346"/>
    <mergeCell ref="A346:E346"/>
    <mergeCell ref="F347:G347"/>
    <mergeCell ref="A347:E347"/>
    <mergeCell ref="B338:E338"/>
    <mergeCell ref="F338:G338"/>
    <mergeCell ref="B339:E339"/>
    <mergeCell ref="F339:G339"/>
    <mergeCell ref="B340:E340"/>
    <mergeCell ref="F340:G340"/>
    <mergeCell ref="B341:E341"/>
    <mergeCell ref="F341:G341"/>
    <mergeCell ref="B342:E342"/>
    <mergeCell ref="F342:G342"/>
    <mergeCell ref="B333:E333"/>
    <mergeCell ref="F333:G333"/>
    <mergeCell ref="B334:E334"/>
    <mergeCell ref="F334:G334"/>
    <mergeCell ref="B335:E335"/>
    <mergeCell ref="F335:G335"/>
    <mergeCell ref="B336:E336"/>
    <mergeCell ref="F336:G336"/>
    <mergeCell ref="B337:E337"/>
    <mergeCell ref="F337:G337"/>
    <mergeCell ref="F327:G327"/>
    <mergeCell ref="A327:E327"/>
    <mergeCell ref="B329:E329"/>
    <mergeCell ref="F329:G329"/>
    <mergeCell ref="B330:E330"/>
    <mergeCell ref="F330:G330"/>
    <mergeCell ref="B331:E331"/>
    <mergeCell ref="F331:G331"/>
    <mergeCell ref="B332:E332"/>
    <mergeCell ref="F332:G332"/>
    <mergeCell ref="B326:E326"/>
    <mergeCell ref="F319:G319"/>
    <mergeCell ref="F320:G320"/>
    <mergeCell ref="F321:G321"/>
    <mergeCell ref="F322:G322"/>
    <mergeCell ref="F323:G323"/>
    <mergeCell ref="F324:G324"/>
    <mergeCell ref="F325:G325"/>
    <mergeCell ref="F326:G326"/>
    <mergeCell ref="F318:G318"/>
    <mergeCell ref="B318:E318"/>
    <mergeCell ref="B319:E319"/>
    <mergeCell ref="B320:E320"/>
    <mergeCell ref="B321:E321"/>
    <mergeCell ref="B322:E322"/>
    <mergeCell ref="B323:E323"/>
    <mergeCell ref="B324:E324"/>
    <mergeCell ref="B325:E325"/>
    <mergeCell ref="D6:D7"/>
    <mergeCell ref="E6:E7"/>
    <mergeCell ref="A315:G315"/>
    <mergeCell ref="A19:E19"/>
    <mergeCell ref="F19:G19"/>
    <mergeCell ref="C272:G272"/>
    <mergeCell ref="C245:G245"/>
    <mergeCell ref="A258:B258"/>
    <mergeCell ref="C298:G298"/>
    <mergeCell ref="B316:G316"/>
    <mergeCell ref="C306:G306"/>
    <mergeCell ref="C271:G271"/>
    <mergeCell ref="C291:G291"/>
    <mergeCell ref="C312:G312"/>
    <mergeCell ref="C299:G299"/>
    <mergeCell ref="F314:G314"/>
    <mergeCell ref="A314:E314"/>
    <mergeCell ref="C259:G259"/>
    <mergeCell ref="C258:G258"/>
    <mergeCell ref="B8:G8"/>
    <mergeCell ref="B20:G20"/>
    <mergeCell ref="C154:G154"/>
    <mergeCell ref="A223:B223"/>
    <mergeCell ref="A244:B244"/>
    <mergeCell ref="B317:G317"/>
    <mergeCell ref="A298:B298"/>
    <mergeCell ref="C294:G294"/>
    <mergeCell ref="A271:B271"/>
    <mergeCell ref="C59:G59"/>
    <mergeCell ref="A311:B311"/>
    <mergeCell ref="C311:G311"/>
    <mergeCell ref="C308:G308"/>
    <mergeCell ref="C309:G309"/>
    <mergeCell ref="A305:B305"/>
    <mergeCell ref="C295:G295"/>
    <mergeCell ref="A59:B59"/>
    <mergeCell ref="A39:B39"/>
    <mergeCell ref="C40:G40"/>
    <mergeCell ref="C60:G60"/>
    <mergeCell ref="C6:C7"/>
    <mergeCell ref="A73:B73"/>
    <mergeCell ref="C292:G292"/>
    <mergeCell ref="A294:B294"/>
    <mergeCell ref="C46:G46"/>
    <mergeCell ref="A291:B291"/>
    <mergeCell ref="C223:G223"/>
    <mergeCell ref="C224:G224"/>
    <mergeCell ref="C135:G135"/>
    <mergeCell ref="A10:A11"/>
    <mergeCell ref="A6:A7"/>
    <mergeCell ref="B6:B7"/>
    <mergeCell ref="E10:E11"/>
    <mergeCell ref="F10:F11"/>
    <mergeCell ref="A1:A2"/>
    <mergeCell ref="C3:D3"/>
    <mergeCell ref="E3:G3"/>
    <mergeCell ref="C4:D4"/>
    <mergeCell ref="E4:G4"/>
    <mergeCell ref="A21:A22"/>
    <mergeCell ref="B21:B22"/>
    <mergeCell ref="C21:C22"/>
    <mergeCell ref="D21:D22"/>
    <mergeCell ref="E21:E22"/>
    <mergeCell ref="E5:G5"/>
    <mergeCell ref="C5:D5"/>
    <mergeCell ref="G10:G11"/>
    <mergeCell ref="F6:G6"/>
    <mergeCell ref="B1:F2"/>
    <mergeCell ref="C305:G305"/>
    <mergeCell ref="A134:B134"/>
    <mergeCell ref="B10:B11"/>
    <mergeCell ref="C10:C11"/>
    <mergeCell ref="D10:D11"/>
    <mergeCell ref="F21:G21"/>
    <mergeCell ref="A308:B308"/>
    <mergeCell ref="C153:G153"/>
    <mergeCell ref="C74:G74"/>
    <mergeCell ref="C73:G73"/>
    <mergeCell ref="C134:G134"/>
    <mergeCell ref="A45:B45"/>
    <mergeCell ref="C24:G24"/>
    <mergeCell ref="C244:G244"/>
    <mergeCell ref="A153:B153"/>
    <mergeCell ref="C39:G39"/>
    <mergeCell ref="C45:G45"/>
    <mergeCell ref="A348:G348"/>
    <mergeCell ref="B328:G328"/>
    <mergeCell ref="A350:G350"/>
    <mergeCell ref="A349:G349"/>
  </mergeCells>
  <phoneticPr fontId="7" type="noConversion"/>
  <hyperlinks>
    <hyperlink ref="B218" r:id="rId1" display="https://www.kuentz.com/bt/index.php?module=produit&amp;prd_id=2295&amp;rw=senecio-ficoides&amp;code_cat=20&amp;page=31"/>
    <hyperlink ref="B217" r:id="rId2" display="https://www.kuentz.com/bt/index.php?module=produit&amp;prd_id=2302&amp;rw=senecio-citriformis-pusillus&amp;code_cat=20&amp;page=31"/>
    <hyperlink ref="B216" r:id="rId3" display="https://www.kuentz.com/bt/index.php?module=produit&amp;prd_id=1453&amp;rw=sedum-allantoides&amp;code_cat=20&amp;page=30"/>
    <hyperlink ref="B214" r:id="rId4" display="https://www.kuentz.com/bt/index.php?module=produit&amp;prd_id=13953&amp;rw=sedum-album-laconicum&amp;code_cat=20&amp;page=30"/>
    <hyperlink ref="B215" r:id="rId5" display="https://www.kuentz.com/bt/index.php?module=produit&amp;prd_id=1455&amp;rw=sedum-adolphi-nussbaumerianum&amp;code_cat=20&amp;page=30"/>
    <hyperlink ref="B199" r:id="rId6" display="https://www.kuentz.com/bt/index.php?module=produit&amp;prd_id=5999&amp;rw=haworthia-glabrata-viscosa&amp;code_cat=20&amp;page=24"/>
    <hyperlink ref="B200" r:id="rId7" display="https://www.kuentz.com/bt/index.php?module=produit&amp;prd_id=1310&amp;rw=haworthia-maxima-papillosa&amp;code_cat=20&amp;page=24"/>
    <hyperlink ref="B198" r:id="rId8" display="https://www.kuentz.com/bt/index.php?module=produit&amp;prd_id=5999&amp;rw=haworthia-glabrata-viscosa&amp;code_cat=20&amp;page=24"/>
    <hyperlink ref="B196" r:id="rId9" display="https://www.kuentz.com/bt/index.php?module=produit&amp;prd_id=5268&amp;rw=gasteria-brachyphylla-bayeri&amp;code_cat=20&amp;page=20"/>
    <hyperlink ref="B186" r:id="rId10" display="https://www.kuentz.com/bt/index.php?module=produit&amp;prd_id=13092&amp;rw=echeveria-prolifica&amp;code_cat=20&amp;page=15"/>
    <hyperlink ref="B171" r:id="rId11" display="https://www.kuentz.com/bt/index.php?module=produit&amp;prd_id=14103&amp;rw=crassula-sarcocaulis&amp;code_cat=20&amp;page=12"/>
    <hyperlink ref="B170" r:id="rId12" display="https://www.kuentz.com/bt/index.php?module=produit&amp;prd_id=2159&amp;rw=crassula-rupestris-tom-thumb&amp;code_cat=20&amp;page=12"/>
    <hyperlink ref="B158" r:id="rId13" display="https://www.kuentz.com/bt/index.php?module=produit&amp;prd_id=984&amp;rw=aeonium-haworthii-kiwi-kiwionium&amp;code_cat=20&amp;page=1"/>
    <hyperlink ref="B204" r:id="rId14" display="https://www.google.com/search?sa=X&amp;biw=1584&amp;bih=687&amp;q=Kalanchoe+robusta&amp;tbm=isch&amp;source=univ&amp;ved=2ahUKEwj8mLjBpPzgAhXl6OAKHZOoC7QQsAR6BAgEEAE"/>
    <hyperlink ref="B190" r:id="rId15" display="https://kissyfrott.com/Euphorbia-burmannii"/>
    <hyperlink ref="B189" r:id="rId16" display="https://www.cactuseros.com/Especie/39/Echinocactus_grusonii.html"/>
  </hyperlinks>
  <printOptions horizontalCentered="1"/>
  <pageMargins left="0.19685039370078741" right="0.19685039370078741" top="0.39370078740157483" bottom="0.35433070866141736" header="0.51181102362204722" footer="0.51181102362204722"/>
  <pageSetup paperSize="9" scale="81" orientation="portrait" horizontalDpi="300" verticalDpi="300" r:id="rId17"/>
  <headerFooter alignWithMargins="0"/>
  <rowBreaks count="7" manualBreakCount="7">
    <brk id="16" max="8" man="1"/>
    <brk id="19" max="8" man="1"/>
    <brk id="73" max="6" man="1"/>
    <brk id="134" max="8" man="1"/>
    <brk id="297" max="8" man="1"/>
    <brk id="314" max="6" man="1"/>
    <brk id="327" max="8" man="1"/>
  </rowBreaks>
  <drawing r:id="rId18"/>
  <picture r:id="rId1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vt:i4>
      </vt:variant>
      <vt:variant>
        <vt:lpstr>Plages nommées</vt:lpstr>
      </vt:variant>
      <vt:variant>
        <vt:i4>1</vt:i4>
      </vt:variant>
    </vt:vector>
  </HeadingPairs>
  <TitlesOfParts>
    <vt:vector size="2" baseType="lpstr">
      <vt:lpstr>OFFRE DE PRIX</vt:lpstr>
      <vt:lpstr>'OFFRE DE PRIX'!Zone_d_impression</vt:lpstr>
    </vt:vector>
  </TitlesOfParts>
  <Company>.</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c:creator>
  <cp:lastModifiedBy>U-RSE</cp:lastModifiedBy>
  <cp:lastPrinted>2023-03-18T11:14:06Z</cp:lastPrinted>
  <dcterms:created xsi:type="dcterms:W3CDTF">2008-03-26T11:17:57Z</dcterms:created>
  <dcterms:modified xsi:type="dcterms:W3CDTF">2023-03-18T11:20:20Z</dcterms:modified>
</cp:coreProperties>
</file>
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760" yWindow="32760" windowWidth="19200" windowHeight="6645" tabRatio="285"/>
  </bookViews>
  <sheets>
    <sheet name="2024" sheetId="3" r:id="rId1"/>
  </sheets>
  <definedNames>
    <definedName name="_xlnm._FilterDatabase" localSheetId="0" hidden="1">'2024'!$A$15:$AH$23</definedName>
  </definedNames>
  <calcPr calcId="124519"/>
</workbook>
</file>

<file path=xl/calcChain.xml><?xml version="1.0" encoding="utf-8"?>
<calcChain xmlns="http://schemas.openxmlformats.org/spreadsheetml/2006/main">
  <c r="T12" i="3"/>
  <c r="T11"/>
  <c r="T10"/>
  <c r="T9"/>
  <c r="T8"/>
  <c r="T7"/>
  <c r="Q12"/>
  <c r="Q11"/>
  <c r="Q10"/>
  <c r="Q9"/>
  <c r="Q8"/>
  <c r="Q7"/>
  <c r="M13"/>
  <c r="M12"/>
  <c r="M11"/>
  <c r="M10"/>
  <c r="M9"/>
  <c r="M8"/>
  <c r="M7"/>
  <c r="I10"/>
  <c r="I9"/>
  <c r="I8"/>
  <c r="C8"/>
  <c r="I7"/>
  <c r="C7"/>
  <c r="C10" l="1"/>
  <c r="N9" l="1"/>
  <c r="U12"/>
  <c r="N8"/>
  <c r="U11"/>
  <c r="U8"/>
  <c r="U10"/>
  <c r="R12"/>
  <c r="U9"/>
  <c r="R10"/>
  <c r="R8"/>
  <c r="N11"/>
  <c r="R11"/>
  <c r="U7"/>
  <c r="N12"/>
  <c r="N13"/>
  <c r="N7"/>
  <c r="R9"/>
  <c r="R7"/>
  <c r="N10"/>
  <c r="J10"/>
  <c r="D7"/>
  <c r="J9"/>
  <c r="D8"/>
  <c r="J8"/>
  <c r="J7"/>
</calcChain>
</file>

<file path=xl/sharedStrings.xml><?xml version="1.0" encoding="utf-8"?>
<sst xmlns="http://schemas.openxmlformats.org/spreadsheetml/2006/main" count="83" uniqueCount="69">
  <si>
    <t>Date de clôture</t>
  </si>
  <si>
    <t>Date d'évaluation</t>
  </si>
  <si>
    <t>Prévue</t>
  </si>
  <si>
    <t>Réalisée</t>
  </si>
  <si>
    <t>N° Fiche</t>
  </si>
  <si>
    <t>Identification de la NC</t>
  </si>
  <si>
    <t>Date</t>
  </si>
  <si>
    <t>NB</t>
  </si>
  <si>
    <t>Réclamation PI</t>
  </si>
  <si>
    <t>Audit</t>
  </si>
  <si>
    <t>Interne</t>
  </si>
  <si>
    <t>%</t>
  </si>
  <si>
    <t>Répartition Type de NC</t>
  </si>
  <si>
    <t>Type de NC</t>
  </si>
  <si>
    <t>NC Système</t>
  </si>
  <si>
    <t>Janvier</t>
  </si>
  <si>
    <t>Février</t>
  </si>
  <si>
    <t>Mars</t>
  </si>
  <si>
    <t>Avril</t>
  </si>
  <si>
    <t>Mai</t>
  </si>
  <si>
    <t>Juin</t>
  </si>
  <si>
    <t>Juillet</t>
  </si>
  <si>
    <t>Septembre</t>
  </si>
  <si>
    <t>Octobre</t>
  </si>
  <si>
    <t>Novembre</t>
  </si>
  <si>
    <t>Décembre</t>
  </si>
  <si>
    <t>Répartition source de NC</t>
  </si>
  <si>
    <t>Processus</t>
  </si>
  <si>
    <t xml:space="preserve"> NC Technique</t>
  </si>
  <si>
    <t>MQ</t>
  </si>
  <si>
    <t>RH</t>
  </si>
  <si>
    <t>ET</t>
  </si>
  <si>
    <t>CO</t>
  </si>
  <si>
    <t>AC</t>
  </si>
  <si>
    <t>Source de NC</t>
  </si>
  <si>
    <t>Date de MAJ :</t>
  </si>
  <si>
    <t>Réclamation Client</t>
  </si>
  <si>
    <t xml:space="preserve">Août </t>
  </si>
  <si>
    <t xml:space="preserve">REGISTRE DE SUIVI DES NON-CONFORMITES, PNC ET RECLAMATIONS 
</t>
  </si>
  <si>
    <t xml:space="preserve">Mois </t>
  </si>
  <si>
    <t>Total des écarts</t>
  </si>
  <si>
    <t>Détecteur</t>
  </si>
  <si>
    <t>Date(s) de correction</t>
  </si>
  <si>
    <t>Date(s) des actions correctives</t>
  </si>
  <si>
    <t>Processus rattaché</t>
  </si>
  <si>
    <t>Réalisée(s)</t>
  </si>
  <si>
    <t>Prévue(s)</t>
  </si>
  <si>
    <t>Référence</t>
  </si>
  <si>
    <t>RE 1</t>
  </si>
  <si>
    <t>RE 2</t>
  </si>
  <si>
    <t>Date(s)</t>
  </si>
  <si>
    <t>Mois</t>
  </si>
  <si>
    <t xml:space="preserve">Impact de la non-conformité </t>
  </si>
  <si>
    <t>Correction</t>
  </si>
  <si>
    <t xml:space="preserve">Autorisation de dérogation  </t>
  </si>
  <si>
    <t xml:space="preserve"> Rebut</t>
  </si>
  <si>
    <t>Action(s)</t>
  </si>
  <si>
    <t>Responsable(s)</t>
  </si>
  <si>
    <t>Actions correctives</t>
  </si>
  <si>
    <t>Etat d'avancement</t>
  </si>
  <si>
    <t>Analyse des causes</t>
  </si>
  <si>
    <t>Désignation de R / O</t>
  </si>
  <si>
    <t xml:space="preserve">Risque </t>
  </si>
  <si>
    <t>Opportunité</t>
  </si>
  <si>
    <t>Nécessité d'une deuxième AC</t>
  </si>
  <si>
    <r>
      <t xml:space="preserve">Réponse Client / PI *
</t>
    </r>
    <r>
      <rPr>
        <b/>
        <sz val="10"/>
        <color indexed="10"/>
        <rFont val="Arial"/>
        <family val="2"/>
      </rPr>
      <t>(En cas de réclamation client / PI)</t>
    </r>
  </si>
  <si>
    <t>Coordonnées</t>
  </si>
  <si>
    <t>Document de référence</t>
  </si>
  <si>
    <t>FOR-MI-05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</si>
</sst>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8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20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9"/>
      <color indexed="8"/>
      <name val="Arial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9" fontId="12" fillId="0" borderId="0" xfId="2" applyFont="1" applyBorder="1" applyAlignment="1">
      <alignment horizontal="center"/>
    </xf>
    <xf numFmtId="0" fontId="0" fillId="0" borderId="0" xfId="0" applyBorder="1" applyAlignment="1"/>
    <xf numFmtId="0" fontId="14" fillId="0" borderId="0" xfId="0" applyFont="1"/>
    <xf numFmtId="0" fontId="11" fillId="0" borderId="0" xfId="0" applyFont="1" applyAlignment="1">
      <alignment horizontal="left"/>
    </xf>
    <xf numFmtId="0" fontId="10" fillId="0" borderId="0" xfId="0" applyFont="1" applyAlignment="1">
      <alignment vertical="center" wrapText="1"/>
    </xf>
    <xf numFmtId="9" fontId="7" fillId="0" borderId="1" xfId="2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9" fontId="7" fillId="0" borderId="2" xfId="2" applyFont="1" applyBorder="1" applyAlignment="1">
      <alignment horizontal="center" vertical="center" wrapText="1"/>
    </xf>
    <xf numFmtId="9" fontId="16" fillId="0" borderId="2" xfId="2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9" fontId="7" fillId="0" borderId="0" xfId="2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2" fillId="0" borderId="1" xfId="1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2" fillId="0" borderId="5" xfId="1" applyFont="1" applyFill="1" applyBorder="1" applyAlignment="1" applyProtection="1">
      <alignment horizontal="center" vertical="center" wrapText="1"/>
    </xf>
    <xf numFmtId="1" fontId="8" fillId="0" borderId="5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22" fillId="0" borderId="2" xfId="1" applyFont="1" applyFill="1" applyBorder="1" applyAlignment="1" applyProtection="1">
      <alignment horizontal="center" vertical="center" wrapText="1"/>
    </xf>
    <xf numFmtId="14" fontId="8" fillId="0" borderId="2" xfId="0" applyNumberFormat="1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9" fontId="7" fillId="0" borderId="2" xfId="0" applyNumberFormat="1" applyFont="1" applyFill="1" applyBorder="1" applyAlignment="1">
      <alignment horizontal="center" vertical="center" wrapText="1"/>
    </xf>
    <xf numFmtId="1" fontId="8" fillId="0" borderId="7" xfId="0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4" fontId="17" fillId="0" borderId="3" xfId="0" applyNumberFormat="1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14" fontId="8" fillId="0" borderId="3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</cellXfs>
  <cellStyles count="3">
    <cellStyle name="Lien hypertexte" xfId="1" builtinId="8"/>
    <cellStyle name="Normal" xfId="0" builtinId="0"/>
    <cellStyle name="Pourcentage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117009</xdr:colOff>
      <xdr:row>0</xdr:row>
      <xdr:rowOff>81382</xdr:rowOff>
    </xdr:from>
    <xdr:to>
      <xdr:col>1</xdr:col>
      <xdr:colOff>657737</xdr:colOff>
      <xdr:row>1</xdr:row>
      <xdr:rowOff>462382</xdr:rowOff>
    </xdr:to>
    <xdr:pic>
      <xdr:nvPicPr>
        <xdr:cNvPr id="2" name="Image 2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17009" y="81382"/>
          <a:ext cx="1088416" cy="8810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0</xdr:row>
      <xdr:rowOff>342900</xdr:rowOff>
    </xdr:from>
    <xdr:to>
      <xdr:col>18</xdr:col>
      <xdr:colOff>509448</xdr:colOff>
      <xdr:row>1</xdr:row>
      <xdr:rowOff>476250</xdr:rowOff>
    </xdr:to>
    <xdr:pic>
      <xdr:nvPicPr>
        <xdr:cNvPr id="3" name="Image 2" descr="80091480_488485278450214_3135376759449452544_n.png"/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582150" y="342900"/>
          <a:ext cx="2583517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3"/>
  <sheetViews>
    <sheetView tabSelected="1" zoomScale="90" zoomScaleNormal="90" workbookViewId="0">
      <selection activeCell="G18" sqref="A15:G18"/>
    </sheetView>
  </sheetViews>
  <sheetFormatPr baseColWidth="10" defaultRowHeight="15" outlineLevelRow="1"/>
  <cols>
    <col min="1" max="1" width="8.140625" customWidth="1"/>
    <col min="2" max="2" width="14.140625" customWidth="1"/>
    <col min="3" max="4" width="16.7109375" customWidth="1"/>
    <col min="5" max="5" width="29.85546875" customWidth="1"/>
    <col min="6" max="6" width="13.28515625" customWidth="1"/>
    <col min="7" max="7" width="21" customWidth="1"/>
    <col min="8" max="9" width="12.42578125" customWidth="1"/>
    <col min="10" max="10" width="33.7109375" customWidth="1"/>
    <col min="11" max="11" width="32.28515625" customWidth="1"/>
    <col min="12" max="12" width="43.7109375" customWidth="1"/>
    <col min="13" max="14" width="15.140625" customWidth="1"/>
    <col min="15" max="15" width="32.140625" customWidth="1"/>
    <col min="16" max="16" width="18" customWidth="1"/>
    <col min="17" max="17" width="15.5703125" style="4" customWidth="1"/>
    <col min="18" max="18" width="15.5703125" customWidth="1"/>
    <col min="19" max="19" width="16.85546875" customWidth="1"/>
    <col min="20" max="20" width="38.42578125" customWidth="1"/>
    <col min="21" max="21" width="14.140625" customWidth="1"/>
    <col min="22" max="22" width="31.5703125" customWidth="1"/>
    <col min="23" max="23" width="17.85546875" customWidth="1"/>
    <col min="24" max="24" width="15.7109375" customWidth="1"/>
    <col min="25" max="25" width="13.28515625" customWidth="1"/>
    <col min="26" max="26" width="16.85546875" customWidth="1"/>
    <col min="27" max="27" width="18.85546875" customWidth="1"/>
    <col min="28" max="28" width="16.85546875" customWidth="1"/>
    <col min="29" max="29" width="12.140625" customWidth="1"/>
    <col min="30" max="30" width="16.85546875" customWidth="1"/>
    <col min="31" max="32" width="14.140625" customWidth="1"/>
    <col min="33" max="33" width="16.85546875" customWidth="1"/>
    <col min="34" max="34" width="19.140625" customWidth="1"/>
  </cols>
  <sheetData>
    <row r="1" spans="1:38" ht="39" customHeight="1">
      <c r="A1" s="59"/>
      <c r="B1" s="60"/>
      <c r="C1" s="63" t="s">
        <v>38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16" t="s">
        <v>68</v>
      </c>
    </row>
    <row r="2" spans="1:38" ht="44.25" customHeight="1">
      <c r="A2" s="61"/>
      <c r="B2" s="62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16">
        <v>4</v>
      </c>
    </row>
    <row r="3" spans="1:38" ht="6" customHeight="1">
      <c r="A3" s="2"/>
      <c r="G3" s="3"/>
      <c r="K3" s="3"/>
      <c r="L3" s="3"/>
      <c r="M3" s="3"/>
      <c r="N3" s="3"/>
      <c r="O3" s="3"/>
      <c r="P3" s="3"/>
      <c r="Q3" s="5"/>
      <c r="R3" s="3"/>
      <c r="S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8" ht="23.25" customHeight="1" outlineLevel="1">
      <c r="A4" s="45" t="s">
        <v>35</v>
      </c>
      <c r="B4" s="46"/>
      <c r="C4" s="47"/>
      <c r="D4" s="48"/>
      <c r="E4" s="28"/>
      <c r="F4" s="10"/>
      <c r="G4" s="5"/>
      <c r="I4" s="5"/>
      <c r="K4" s="5"/>
      <c r="L4" s="5"/>
      <c r="M4" s="5"/>
      <c r="N4" s="5"/>
      <c r="O4" s="5"/>
      <c r="P4" s="5"/>
      <c r="Q4" s="3"/>
      <c r="R4" s="3"/>
      <c r="S4" s="3"/>
      <c r="U4" s="3"/>
      <c r="V4" s="3"/>
      <c r="W4" s="3"/>
      <c r="X4" s="3"/>
      <c r="Y4" s="3"/>
      <c r="Z4" s="3"/>
      <c r="AA4" s="3"/>
      <c r="AD4" s="3"/>
      <c r="AE4" s="3"/>
      <c r="AF4" s="3"/>
      <c r="AG4" s="3"/>
      <c r="AH4" s="3"/>
    </row>
    <row r="5" spans="1:38" ht="5.25" customHeight="1" outlineLevel="1">
      <c r="A5" s="2"/>
      <c r="F5" s="10"/>
      <c r="G5" s="10"/>
      <c r="L5" s="5"/>
      <c r="M5" s="5"/>
      <c r="N5" s="5"/>
      <c r="O5" s="5"/>
      <c r="P5" s="5"/>
      <c r="V5" s="7"/>
      <c r="W5" s="7"/>
      <c r="X5" s="7"/>
    </row>
    <row r="6" spans="1:38" ht="37.5" customHeight="1" outlineLevel="1">
      <c r="A6" s="49" t="s">
        <v>12</v>
      </c>
      <c r="B6" s="50"/>
      <c r="C6" s="14" t="s">
        <v>7</v>
      </c>
      <c r="D6" s="15" t="s">
        <v>11</v>
      </c>
      <c r="E6" s="29"/>
      <c r="F6" s="10"/>
      <c r="G6" s="55" t="s">
        <v>26</v>
      </c>
      <c r="H6" s="56"/>
      <c r="I6" s="20" t="s">
        <v>7</v>
      </c>
      <c r="J6" s="20" t="s">
        <v>11</v>
      </c>
      <c r="L6" s="21" t="s">
        <v>27</v>
      </c>
      <c r="M6" s="21" t="s">
        <v>7</v>
      </c>
      <c r="N6" s="21" t="s">
        <v>11</v>
      </c>
      <c r="P6" s="22" t="s">
        <v>39</v>
      </c>
      <c r="Q6" s="22" t="s">
        <v>7</v>
      </c>
      <c r="R6" s="22" t="s">
        <v>11</v>
      </c>
      <c r="S6" s="24" t="s">
        <v>39</v>
      </c>
      <c r="T6" s="22" t="s">
        <v>7</v>
      </c>
      <c r="U6" s="22" t="s">
        <v>11</v>
      </c>
      <c r="V6" s="7"/>
      <c r="W6" s="7"/>
      <c r="X6" s="7"/>
      <c r="Y6" s="7"/>
      <c r="Z6" s="8"/>
      <c r="AA6" s="6"/>
      <c r="AB6" s="8"/>
      <c r="AC6" s="9"/>
      <c r="AD6" s="9"/>
      <c r="AE6" s="9"/>
      <c r="AF6" s="9"/>
      <c r="AG6" s="9"/>
    </row>
    <row r="7" spans="1:38" ht="23.25" customHeight="1" outlineLevel="1">
      <c r="A7" s="57" t="s">
        <v>14</v>
      </c>
      <c r="B7" s="58"/>
      <c r="C7" s="26">
        <f>COUNTIF($B$17:$B$96,"NC système")</f>
        <v>0</v>
      </c>
      <c r="D7" s="13" t="e">
        <f>C7/$C$10</f>
        <v>#DIV/0!</v>
      </c>
      <c r="E7" s="29"/>
      <c r="F7" s="10"/>
      <c r="G7" s="57" t="s">
        <v>10</v>
      </c>
      <c r="H7" s="58"/>
      <c r="I7" s="31">
        <f>COUNTIF($C$17:$C$96,"Interne")</f>
        <v>0</v>
      </c>
      <c r="J7" s="18" t="e">
        <f>I7/$C$10</f>
        <v>#DIV/0!</v>
      </c>
      <c r="L7" s="23" t="s">
        <v>29</v>
      </c>
      <c r="M7" s="17">
        <f>+COUNTIF($F$17:$F$96,"MQ")</f>
        <v>0</v>
      </c>
      <c r="N7" s="19" t="e">
        <f t="shared" ref="N7:N13" si="0">M7/$C$10</f>
        <v>#DIV/0!</v>
      </c>
      <c r="P7" s="23" t="s">
        <v>15</v>
      </c>
      <c r="Q7" s="17">
        <f>+COUNTIF($H$17:$H$96,"Janvier")</f>
        <v>0</v>
      </c>
      <c r="R7" s="19" t="e">
        <f t="shared" ref="R7:R12" si="1">Q7/$C$10</f>
        <v>#DIV/0!</v>
      </c>
      <c r="S7" s="25" t="s">
        <v>21</v>
      </c>
      <c r="T7" s="17">
        <f>+COUNTIF($H$17:$H$96,"Juillet")</f>
        <v>0</v>
      </c>
      <c r="U7" s="19" t="e">
        <f t="shared" ref="U7:U12" si="2">T7/$C$10</f>
        <v>#DIV/0!</v>
      </c>
      <c r="V7" s="7"/>
      <c r="W7" s="7"/>
      <c r="X7" s="7"/>
      <c r="Y7" s="7"/>
      <c r="Z7" s="8"/>
      <c r="AA7" s="6"/>
      <c r="AB7" s="8"/>
      <c r="AC7" s="9"/>
      <c r="AD7" s="9"/>
      <c r="AE7" s="9"/>
      <c r="AF7" s="9"/>
      <c r="AG7" s="9"/>
    </row>
    <row r="8" spans="1:38" ht="22.5" customHeight="1" outlineLevel="1">
      <c r="A8" s="57" t="s">
        <v>28</v>
      </c>
      <c r="B8" s="58"/>
      <c r="C8" s="26">
        <f>COUNTIF($B$17:$B$96,"NC Technique")</f>
        <v>0</v>
      </c>
      <c r="D8" s="13" t="e">
        <f>C8/$C$10</f>
        <v>#DIV/0!</v>
      </c>
      <c r="E8" s="29"/>
      <c r="F8" s="10"/>
      <c r="G8" s="57" t="s">
        <v>9</v>
      </c>
      <c r="H8" s="58"/>
      <c r="I8" s="31">
        <f>COUNTIF($C$17:$C$96,"Audit")</f>
        <v>0</v>
      </c>
      <c r="J8" s="18" t="e">
        <f>I8/$C$10</f>
        <v>#DIV/0!</v>
      </c>
      <c r="L8" s="23" t="s">
        <v>30</v>
      </c>
      <c r="M8" s="17">
        <f>+COUNTIF($F$17:$F$96,"RH")</f>
        <v>0</v>
      </c>
      <c r="N8" s="19" t="e">
        <f t="shared" si="0"/>
        <v>#DIV/0!</v>
      </c>
      <c r="P8" s="23" t="s">
        <v>16</v>
      </c>
      <c r="Q8" s="17">
        <f>+COUNTIF($H$17:$H$96,"Février")</f>
        <v>0</v>
      </c>
      <c r="R8" s="19" t="e">
        <f t="shared" si="1"/>
        <v>#DIV/0!</v>
      </c>
      <c r="S8" s="25" t="s">
        <v>37</v>
      </c>
      <c r="T8" s="17">
        <f>+COUNTIF($H$17:$H$96,"Août")</f>
        <v>0</v>
      </c>
      <c r="U8" s="19" t="e">
        <f t="shared" si="2"/>
        <v>#DIV/0!</v>
      </c>
      <c r="V8" s="7"/>
      <c r="W8" s="7"/>
      <c r="X8" s="7"/>
      <c r="Y8" s="7"/>
      <c r="Z8" s="8"/>
      <c r="AA8" s="6"/>
      <c r="AB8" s="8"/>
      <c r="AC8" s="9"/>
      <c r="AD8" s="9"/>
      <c r="AE8" s="9"/>
      <c r="AF8" s="9"/>
      <c r="AG8" s="9"/>
    </row>
    <row r="9" spans="1:38" ht="24" customHeight="1" outlineLevel="1">
      <c r="A9" s="10"/>
      <c r="B9" s="10"/>
      <c r="C9" s="10"/>
      <c r="D9" s="10"/>
      <c r="E9" s="10"/>
      <c r="F9" s="10"/>
      <c r="G9" s="57" t="s">
        <v>36</v>
      </c>
      <c r="H9" s="58"/>
      <c r="I9" s="31">
        <f>COUNTIF($C$17:$C$96,"Réclamation client")</f>
        <v>0</v>
      </c>
      <c r="J9" s="18" t="e">
        <f>I9/$C$10</f>
        <v>#DIV/0!</v>
      </c>
      <c r="L9" s="23" t="s">
        <v>31</v>
      </c>
      <c r="M9" s="17">
        <f>+COUNTIF($F$17:$F$96,"ET")</f>
        <v>0</v>
      </c>
      <c r="N9" s="19" t="e">
        <f t="shared" si="0"/>
        <v>#DIV/0!</v>
      </c>
      <c r="P9" s="23" t="s">
        <v>17</v>
      </c>
      <c r="Q9" s="17">
        <f>+COUNTIF($H$17:$H$96,"Mars")</f>
        <v>0</v>
      </c>
      <c r="R9" s="19" t="e">
        <f t="shared" si="1"/>
        <v>#DIV/0!</v>
      </c>
      <c r="S9" s="25" t="s">
        <v>22</v>
      </c>
      <c r="T9" s="17">
        <f>+COUNTIF($H$17:$H$96,"Septembre")</f>
        <v>0</v>
      </c>
      <c r="U9" s="19" t="e">
        <f t="shared" si="2"/>
        <v>#DIV/0!</v>
      </c>
      <c r="V9" s="7"/>
      <c r="W9" s="7"/>
      <c r="X9" s="7"/>
      <c r="Y9" s="7"/>
      <c r="Z9" s="8"/>
      <c r="AA9" s="6"/>
      <c r="AB9" s="8"/>
      <c r="AC9" s="9"/>
      <c r="AD9" s="9"/>
      <c r="AE9" s="9"/>
      <c r="AF9" s="9"/>
      <c r="AG9" s="9"/>
    </row>
    <row r="10" spans="1:38" ht="23.25" customHeight="1" outlineLevel="1">
      <c r="A10" s="45" t="s">
        <v>40</v>
      </c>
      <c r="B10" s="46"/>
      <c r="C10" s="57">
        <f>COUNTA(A17:A96)</f>
        <v>0</v>
      </c>
      <c r="D10" s="58"/>
      <c r="E10" s="30"/>
      <c r="F10" s="10"/>
      <c r="G10" s="57" t="s">
        <v>8</v>
      </c>
      <c r="H10" s="58"/>
      <c r="I10" s="31">
        <f>COUNTIF($C$17:$C$96,"Réclamation PI")</f>
        <v>0</v>
      </c>
      <c r="J10" s="18" t="e">
        <f>I10/$C$10</f>
        <v>#DIV/0!</v>
      </c>
      <c r="L10" s="23" t="s">
        <v>32</v>
      </c>
      <c r="M10" s="17">
        <f>+COUNTIF($F$17:$F$96,"CO")</f>
        <v>0</v>
      </c>
      <c r="N10" s="19" t="e">
        <f t="shared" si="0"/>
        <v>#DIV/0!</v>
      </c>
      <c r="P10" s="23" t="s">
        <v>18</v>
      </c>
      <c r="Q10" s="17">
        <f>+COUNTIF($H$17:$H$96,"Avril")</f>
        <v>0</v>
      </c>
      <c r="R10" s="19" t="e">
        <f t="shared" si="1"/>
        <v>#DIV/0!</v>
      </c>
      <c r="S10" s="25" t="s">
        <v>23</v>
      </c>
      <c r="T10" s="17">
        <f>+COUNTIF($H$17:$H$96,"Octobre")</f>
        <v>0</v>
      </c>
      <c r="U10" s="19" t="e">
        <f t="shared" si="2"/>
        <v>#DIV/0!</v>
      </c>
      <c r="V10" s="7"/>
      <c r="W10" s="7"/>
      <c r="X10" s="7"/>
      <c r="Y10" s="7"/>
      <c r="Z10" s="8"/>
      <c r="AA10" s="6"/>
      <c r="AB10" s="8"/>
      <c r="AC10" s="9"/>
      <c r="AD10" s="9"/>
      <c r="AE10" s="9"/>
      <c r="AF10" s="9"/>
      <c r="AG10" s="9"/>
    </row>
    <row r="11" spans="1:38" ht="24.75" customHeight="1" outlineLevel="1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2"/>
      <c r="L11" s="23" t="s">
        <v>33</v>
      </c>
      <c r="M11" s="17">
        <f>+COUNTIF($F$17:$F$96,"AC")</f>
        <v>0</v>
      </c>
      <c r="N11" s="19" t="e">
        <f t="shared" si="0"/>
        <v>#DIV/0!</v>
      </c>
      <c r="P11" s="23" t="s">
        <v>19</v>
      </c>
      <c r="Q11" s="17">
        <f>+COUNTIF($H$17:$H$96,"Mai")</f>
        <v>0</v>
      </c>
      <c r="R11" s="19" t="e">
        <f t="shared" si="1"/>
        <v>#DIV/0!</v>
      </c>
      <c r="S11" s="25" t="s">
        <v>24</v>
      </c>
      <c r="T11" s="17">
        <f>+COUNTIF($H$17:$H$96,"Novembre")</f>
        <v>0</v>
      </c>
      <c r="U11" s="19" t="e">
        <f t="shared" si="2"/>
        <v>#DIV/0!</v>
      </c>
      <c r="V11" s="7"/>
      <c r="W11" s="7"/>
      <c r="X11" s="7"/>
      <c r="Y11" s="7"/>
      <c r="Z11" s="8"/>
      <c r="AA11" s="6"/>
      <c r="AB11" s="8"/>
      <c r="AC11" s="9"/>
      <c r="AD11" s="9"/>
      <c r="AE11" s="9"/>
      <c r="AF11" s="9"/>
      <c r="AG11" s="9"/>
    </row>
    <row r="12" spans="1:38" ht="24.75" customHeight="1" outlineLevel="1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2"/>
      <c r="L12" s="23" t="s">
        <v>48</v>
      </c>
      <c r="M12" s="17">
        <f>+COUNTIF($F$17:$F$96,"RE1")</f>
        <v>0</v>
      </c>
      <c r="N12" s="19" t="e">
        <f t="shared" si="0"/>
        <v>#DIV/0!</v>
      </c>
      <c r="P12" s="23" t="s">
        <v>20</v>
      </c>
      <c r="Q12" s="17">
        <f>+COUNTIF($H$17:$H$96,"Juin")</f>
        <v>0</v>
      </c>
      <c r="R12" s="19" t="e">
        <f t="shared" si="1"/>
        <v>#DIV/0!</v>
      </c>
      <c r="S12" s="25" t="s">
        <v>25</v>
      </c>
      <c r="T12" s="17">
        <f>+COUNTIF($H$17:$H$96,"Décembre")</f>
        <v>0</v>
      </c>
      <c r="U12" s="19" t="e">
        <f t="shared" si="2"/>
        <v>#DIV/0!</v>
      </c>
      <c r="V12" s="7"/>
      <c r="W12" s="7"/>
      <c r="X12" s="7"/>
      <c r="Y12" s="7"/>
      <c r="Z12" s="8"/>
      <c r="AA12" s="6"/>
      <c r="AB12" s="8"/>
      <c r="AC12" s="9"/>
      <c r="AD12" s="9"/>
      <c r="AE12" s="9"/>
      <c r="AF12" s="9"/>
      <c r="AG12" s="9"/>
      <c r="AH12" s="3"/>
    </row>
    <row r="13" spans="1:38" ht="27" customHeight="1" outlineLevel="1">
      <c r="A13" s="2"/>
      <c r="G13" s="10"/>
      <c r="K13" s="3"/>
      <c r="L13" s="23" t="s">
        <v>49</v>
      </c>
      <c r="M13" s="17">
        <f>+COUNTIF($F$17:$F$96,"RE2")</f>
        <v>0</v>
      </c>
      <c r="N13" s="19" t="e">
        <f t="shared" si="0"/>
        <v>#DIV/0!</v>
      </c>
      <c r="O13" s="7"/>
      <c r="P13" s="7"/>
      <c r="Q13" s="6"/>
      <c r="R13" s="7"/>
      <c r="S13" s="7"/>
      <c r="U13" s="7"/>
      <c r="V13" s="7"/>
      <c r="W13" s="7"/>
      <c r="X13" s="7"/>
      <c r="Y13" s="7"/>
      <c r="Z13" s="8"/>
      <c r="AA13" s="6"/>
      <c r="AB13" s="8"/>
      <c r="AC13" s="9"/>
      <c r="AD13" s="9"/>
      <c r="AE13" s="9"/>
      <c r="AF13" s="9"/>
      <c r="AG13" s="9"/>
      <c r="AH13" s="8"/>
    </row>
    <row r="14" spans="1:38" ht="16.5" customHeight="1" outlineLevel="1">
      <c r="A14" s="2"/>
      <c r="Q14"/>
      <c r="X14" s="7"/>
      <c r="Y14" s="7"/>
      <c r="AA14" s="6"/>
      <c r="AB14" s="8"/>
      <c r="AC14" s="9"/>
      <c r="AD14" s="9"/>
      <c r="AE14" s="9"/>
      <c r="AF14" s="9"/>
      <c r="AG14" s="9"/>
      <c r="AH14" s="8"/>
    </row>
    <row r="15" spans="1:38" ht="51.75" customHeight="1">
      <c r="A15" s="53" t="s">
        <v>4</v>
      </c>
      <c r="B15" s="53" t="s">
        <v>13</v>
      </c>
      <c r="C15" s="53" t="s">
        <v>34</v>
      </c>
      <c r="D15" s="53" t="s">
        <v>41</v>
      </c>
      <c r="E15" s="53" t="s">
        <v>66</v>
      </c>
      <c r="F15" s="53" t="s">
        <v>44</v>
      </c>
      <c r="G15" s="53" t="s">
        <v>67</v>
      </c>
      <c r="H15" s="53" t="s">
        <v>51</v>
      </c>
      <c r="I15" s="53" t="s">
        <v>6</v>
      </c>
      <c r="J15" s="67" t="s">
        <v>5</v>
      </c>
      <c r="K15" s="68"/>
      <c r="L15" s="53" t="s">
        <v>52</v>
      </c>
      <c r="M15" s="64" t="s">
        <v>53</v>
      </c>
      <c r="N15" s="65"/>
      <c r="O15" s="65"/>
      <c r="P15" s="66"/>
      <c r="Q15" s="64" t="s">
        <v>42</v>
      </c>
      <c r="R15" s="66"/>
      <c r="S15" s="53" t="s">
        <v>59</v>
      </c>
      <c r="T15" s="53" t="s">
        <v>60</v>
      </c>
      <c r="U15" s="64" t="s">
        <v>58</v>
      </c>
      <c r="V15" s="65"/>
      <c r="W15" s="66"/>
      <c r="X15" s="64" t="s">
        <v>43</v>
      </c>
      <c r="Y15" s="66"/>
      <c r="Z15" s="53" t="s">
        <v>59</v>
      </c>
      <c r="AA15" s="64" t="s">
        <v>1</v>
      </c>
      <c r="AB15" s="66"/>
      <c r="AC15" s="64" t="s">
        <v>65</v>
      </c>
      <c r="AD15" s="66"/>
      <c r="AE15" s="67" t="s">
        <v>61</v>
      </c>
      <c r="AF15" s="68"/>
      <c r="AG15" s="53" t="s">
        <v>64</v>
      </c>
      <c r="AH15" s="53" t="s">
        <v>0</v>
      </c>
      <c r="AL15" s="1"/>
    </row>
    <row r="16" spans="1:38" ht="39.75" customHeight="1">
      <c r="A16" s="54"/>
      <c r="B16" s="54"/>
      <c r="C16" s="54"/>
      <c r="D16" s="54"/>
      <c r="E16" s="54"/>
      <c r="F16" s="54"/>
      <c r="G16" s="54"/>
      <c r="H16" s="54"/>
      <c r="I16" s="54"/>
      <c r="J16" s="69"/>
      <c r="K16" s="70"/>
      <c r="L16" s="54"/>
      <c r="M16" s="32" t="s">
        <v>54</v>
      </c>
      <c r="N16" s="32" t="s">
        <v>55</v>
      </c>
      <c r="O16" s="32" t="s">
        <v>56</v>
      </c>
      <c r="P16" s="32" t="s">
        <v>57</v>
      </c>
      <c r="Q16" s="32" t="s">
        <v>46</v>
      </c>
      <c r="R16" s="33" t="s">
        <v>45</v>
      </c>
      <c r="S16" s="54"/>
      <c r="T16" s="54"/>
      <c r="U16" s="64" t="s">
        <v>56</v>
      </c>
      <c r="V16" s="66"/>
      <c r="W16" s="32" t="s">
        <v>57</v>
      </c>
      <c r="X16" s="32" t="s">
        <v>46</v>
      </c>
      <c r="Y16" s="33" t="s">
        <v>45</v>
      </c>
      <c r="Z16" s="54"/>
      <c r="AA16" s="32" t="s">
        <v>2</v>
      </c>
      <c r="AB16" s="33" t="s">
        <v>3</v>
      </c>
      <c r="AC16" s="32" t="s">
        <v>50</v>
      </c>
      <c r="AD16" s="32" t="s">
        <v>47</v>
      </c>
      <c r="AE16" s="32" t="s">
        <v>62</v>
      </c>
      <c r="AF16" s="32" t="s">
        <v>63</v>
      </c>
      <c r="AG16" s="54"/>
      <c r="AH16" s="54"/>
      <c r="AL16" s="1"/>
    </row>
    <row r="17" spans="1:34" ht="41.25" customHeight="1">
      <c r="A17" s="27"/>
      <c r="B17" s="39"/>
      <c r="C17" s="39"/>
      <c r="D17" s="35"/>
      <c r="E17" s="35"/>
      <c r="F17" s="39"/>
      <c r="G17" s="34"/>
      <c r="H17" s="41"/>
      <c r="I17" s="41"/>
      <c r="J17" s="51"/>
      <c r="K17" s="52"/>
      <c r="L17" s="36"/>
      <c r="M17" s="36"/>
      <c r="N17" s="36"/>
      <c r="O17" s="36"/>
      <c r="P17" s="36"/>
      <c r="Q17" s="41"/>
      <c r="R17" s="41"/>
      <c r="S17" s="43"/>
      <c r="T17" s="42"/>
      <c r="U17" s="71"/>
      <c r="V17" s="72"/>
      <c r="W17" s="41"/>
      <c r="X17" s="41"/>
      <c r="Y17" s="41"/>
      <c r="Z17" s="43"/>
      <c r="AA17" s="41"/>
      <c r="AB17" s="41"/>
      <c r="AC17" s="41"/>
      <c r="AD17" s="41"/>
      <c r="AE17" s="41"/>
      <c r="AF17" s="41"/>
      <c r="AG17" s="41"/>
      <c r="AH17" s="41"/>
    </row>
    <row r="18" spans="1:34" ht="41.25" customHeight="1">
      <c r="A18" s="27"/>
      <c r="B18" s="39"/>
      <c r="C18" s="39"/>
      <c r="D18" s="35"/>
      <c r="E18" s="35"/>
      <c r="F18" s="39"/>
      <c r="G18" s="40"/>
      <c r="H18" s="41"/>
      <c r="I18" s="41"/>
      <c r="J18" s="51"/>
      <c r="K18" s="52"/>
      <c r="L18" s="36"/>
      <c r="M18" s="36"/>
      <c r="N18" s="36"/>
      <c r="O18" s="36"/>
      <c r="P18" s="36"/>
      <c r="Q18" s="41"/>
      <c r="R18" s="41"/>
      <c r="S18" s="43"/>
      <c r="T18" s="42"/>
      <c r="U18" s="71"/>
      <c r="V18" s="72"/>
      <c r="W18" s="41"/>
      <c r="X18" s="41"/>
      <c r="Y18" s="41"/>
      <c r="Z18" s="43"/>
      <c r="AA18" s="41"/>
      <c r="AB18" s="41"/>
      <c r="AC18" s="41"/>
      <c r="AD18" s="41"/>
      <c r="AE18" s="41"/>
      <c r="AF18" s="41"/>
      <c r="AG18" s="41"/>
      <c r="AH18" s="41"/>
    </row>
    <row r="19" spans="1:34" ht="41.25" customHeight="1">
      <c r="A19" s="38"/>
      <c r="B19" s="38"/>
      <c r="C19" s="38"/>
      <c r="D19" s="38"/>
      <c r="E19" s="44"/>
      <c r="F19" s="39"/>
      <c r="G19" s="37"/>
      <c r="H19" s="38"/>
      <c r="I19" s="41"/>
      <c r="J19" s="51"/>
      <c r="K19" s="52"/>
      <c r="L19" s="36"/>
      <c r="M19" s="36"/>
      <c r="N19" s="36"/>
      <c r="O19" s="36"/>
      <c r="P19" s="36"/>
      <c r="Q19" s="41"/>
      <c r="R19" s="41"/>
      <c r="S19" s="43"/>
      <c r="T19" s="42"/>
      <c r="U19" s="71"/>
      <c r="V19" s="72"/>
      <c r="W19" s="41"/>
      <c r="X19" s="41"/>
      <c r="Y19" s="41"/>
      <c r="Z19" s="43"/>
      <c r="AA19" s="41"/>
      <c r="AB19" s="41"/>
      <c r="AC19" s="41"/>
      <c r="AD19" s="41"/>
      <c r="AE19" s="41"/>
      <c r="AF19" s="41"/>
      <c r="AG19" s="41"/>
      <c r="AH19" s="41"/>
    </row>
    <row r="20" spans="1:34" ht="41.25" customHeight="1">
      <c r="A20" s="27"/>
      <c r="B20" s="39"/>
      <c r="C20" s="39"/>
      <c r="D20" s="35"/>
      <c r="E20" s="35"/>
      <c r="F20" s="39"/>
      <c r="G20" s="34"/>
      <c r="H20" s="41"/>
      <c r="I20" s="41"/>
      <c r="J20" s="51"/>
      <c r="K20" s="52"/>
      <c r="L20" s="36"/>
      <c r="M20" s="36"/>
      <c r="N20" s="36"/>
      <c r="O20" s="36"/>
      <c r="P20" s="36"/>
      <c r="Q20" s="41"/>
      <c r="R20" s="41"/>
      <c r="S20" s="43"/>
      <c r="T20" s="42"/>
      <c r="U20" s="71"/>
      <c r="V20" s="72"/>
      <c r="W20" s="41"/>
      <c r="X20" s="41"/>
      <c r="Y20" s="41"/>
      <c r="Z20" s="43"/>
      <c r="AA20" s="41"/>
      <c r="AB20" s="41"/>
      <c r="AC20" s="41"/>
      <c r="AD20" s="41"/>
      <c r="AE20" s="41"/>
      <c r="AF20" s="41"/>
      <c r="AG20" s="41"/>
      <c r="AH20" s="41"/>
    </row>
    <row r="21" spans="1:34" ht="41.25" customHeight="1">
      <c r="A21" s="27"/>
      <c r="B21" s="39"/>
      <c r="C21" s="39"/>
      <c r="D21" s="35"/>
      <c r="E21" s="35"/>
      <c r="F21" s="39"/>
      <c r="G21" s="34"/>
      <c r="H21" s="41"/>
      <c r="I21" s="41"/>
      <c r="J21" s="51"/>
      <c r="K21" s="52"/>
      <c r="L21" s="36"/>
      <c r="M21" s="36"/>
      <c r="N21" s="36"/>
      <c r="O21" s="36"/>
      <c r="P21" s="36"/>
      <c r="Q21" s="41"/>
      <c r="R21" s="41"/>
      <c r="S21" s="43"/>
      <c r="T21" s="42"/>
      <c r="U21" s="71"/>
      <c r="V21" s="72"/>
      <c r="W21" s="41"/>
      <c r="X21" s="41"/>
      <c r="Y21" s="41"/>
      <c r="Z21" s="43"/>
      <c r="AA21" s="41"/>
      <c r="AB21" s="41"/>
      <c r="AC21" s="41"/>
      <c r="AD21" s="41"/>
      <c r="AE21" s="41"/>
      <c r="AF21" s="41"/>
      <c r="AG21" s="41"/>
      <c r="AH21" s="41"/>
    </row>
    <row r="22" spans="1:34" ht="41.25" customHeight="1">
      <c r="A22" s="27"/>
      <c r="B22" s="39"/>
      <c r="C22" s="39"/>
      <c r="D22" s="35"/>
      <c r="E22" s="35"/>
      <c r="F22" s="39"/>
      <c r="G22" s="34"/>
      <c r="H22" s="41"/>
      <c r="I22" s="41"/>
      <c r="J22" s="51"/>
      <c r="K22" s="52"/>
      <c r="L22" s="36"/>
      <c r="M22" s="36"/>
      <c r="N22" s="36"/>
      <c r="O22" s="36"/>
      <c r="P22" s="36"/>
      <c r="Q22" s="41"/>
      <c r="R22" s="41"/>
      <c r="S22" s="43"/>
      <c r="T22" s="42"/>
      <c r="U22" s="71"/>
      <c r="V22" s="72"/>
      <c r="W22" s="41"/>
      <c r="X22" s="41"/>
      <c r="Y22" s="41"/>
      <c r="Z22" s="43"/>
      <c r="AA22" s="41"/>
      <c r="AB22" s="41"/>
      <c r="AC22" s="41"/>
      <c r="AD22" s="41"/>
      <c r="AE22" s="41"/>
      <c r="AF22" s="41"/>
      <c r="AG22" s="41"/>
      <c r="AH22" s="41"/>
    </row>
    <row r="23" spans="1:34" ht="41.25" customHeight="1">
      <c r="A23" s="27"/>
      <c r="B23" s="39"/>
      <c r="C23" s="39"/>
      <c r="D23" s="35"/>
      <c r="E23" s="35"/>
      <c r="F23" s="39"/>
      <c r="G23" s="34"/>
      <c r="H23" s="41"/>
      <c r="I23" s="41"/>
      <c r="J23" s="51"/>
      <c r="K23" s="52"/>
      <c r="L23" s="36"/>
      <c r="M23" s="36"/>
      <c r="N23" s="36"/>
      <c r="O23" s="36"/>
      <c r="P23" s="36"/>
      <c r="Q23" s="41"/>
      <c r="R23" s="41"/>
      <c r="S23" s="43"/>
      <c r="T23" s="42"/>
      <c r="U23" s="71"/>
      <c r="V23" s="72"/>
      <c r="W23" s="41"/>
      <c r="X23" s="41"/>
      <c r="Y23" s="41"/>
      <c r="Z23" s="43"/>
      <c r="AA23" s="41"/>
      <c r="AB23" s="41"/>
      <c r="AC23" s="41"/>
      <c r="AD23" s="41"/>
      <c r="AE23" s="41"/>
      <c r="AF23" s="41"/>
      <c r="AG23" s="41"/>
      <c r="AH23" s="41"/>
    </row>
  </sheetData>
  <mergeCells count="52">
    <mergeCell ref="U23:V23"/>
    <mergeCell ref="J20:K20"/>
    <mergeCell ref="J21:K21"/>
    <mergeCell ref="J22:K22"/>
    <mergeCell ref="J23:K23"/>
    <mergeCell ref="U21:V21"/>
    <mergeCell ref="U22:V22"/>
    <mergeCell ref="U20:V20"/>
    <mergeCell ref="AH15:AH16"/>
    <mergeCell ref="AE15:AF15"/>
    <mergeCell ref="AG15:AG16"/>
    <mergeCell ref="U16:V16"/>
    <mergeCell ref="L15:L16"/>
    <mergeCell ref="Z15:Z16"/>
    <mergeCell ref="AC15:AD15"/>
    <mergeCell ref="AA15:AB15"/>
    <mergeCell ref="X15:Y15"/>
    <mergeCell ref="U15:W15"/>
    <mergeCell ref="T15:T16"/>
    <mergeCell ref="U19:V19"/>
    <mergeCell ref="J19:K19"/>
    <mergeCell ref="U17:V17"/>
    <mergeCell ref="U18:V18"/>
    <mergeCell ref="A1:B2"/>
    <mergeCell ref="H15:H16"/>
    <mergeCell ref="A7:B7"/>
    <mergeCell ref="A8:B8"/>
    <mergeCell ref="A10:B10"/>
    <mergeCell ref="A15:A16"/>
    <mergeCell ref="B15:B16"/>
    <mergeCell ref="C15:C16"/>
    <mergeCell ref="D15:D16"/>
    <mergeCell ref="F15:F16"/>
    <mergeCell ref="C10:D10"/>
    <mergeCell ref="C1:AG2"/>
    <mergeCell ref="S15:S16"/>
    <mergeCell ref="M15:P15"/>
    <mergeCell ref="Q15:R15"/>
    <mergeCell ref="J15:K16"/>
    <mergeCell ref="A4:B4"/>
    <mergeCell ref="C4:D4"/>
    <mergeCell ref="A6:B6"/>
    <mergeCell ref="J17:K17"/>
    <mergeCell ref="J18:K18"/>
    <mergeCell ref="E15:E16"/>
    <mergeCell ref="I15:I16"/>
    <mergeCell ref="G6:H6"/>
    <mergeCell ref="G7:H7"/>
    <mergeCell ref="G8:H8"/>
    <mergeCell ref="G9:H9"/>
    <mergeCell ref="G10:H10"/>
    <mergeCell ref="G15:G16"/>
  </mergeCells>
  <conditionalFormatting sqref="S17:S23">
    <cfRule type="colorScale" priority="5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17:Z23">
    <cfRule type="colorScale" priority="5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5">
    <dataValidation type="list" allowBlank="1" showInputMessage="1" showErrorMessage="1" sqref="S17:S23 Z17:Z23">
      <formula1>"0 %, 10 %, 20 %, 30 %, 40 %, 50 %, 60 %, 70 %, 80 %, 90 %, 100 %"</formula1>
    </dataValidation>
    <dataValidation type="list" allowBlank="1" showInputMessage="1" showErrorMessage="1" sqref="H17:H23">
      <formula1>"Janvier, Février, Mars, Avril, Mai, Juin, Juillet, Août, Septembre, Octobre, Novembre, Décembre"</formula1>
    </dataValidation>
    <dataValidation type="list" allowBlank="1" showInputMessage="1" showErrorMessage="1" sqref="B17:B23">
      <formula1>"NC système, NC Technique"</formula1>
    </dataValidation>
    <dataValidation type="list" allowBlank="1" showInputMessage="1" showErrorMessage="1" sqref="C17:C23">
      <formula1>"Interne, Audit, Réclamation Client, Réclamation PI"</formula1>
    </dataValidation>
    <dataValidation type="list" allowBlank="1" showInputMessage="1" showErrorMessage="1" sqref="F17:F23">
      <formula1>"AC, RE1, RE2, CO, ET, MQ, RH, EN"</formula1>
    </dataValidation>
  </dataValidations>
  <pageMargins left="7.874015748031496E-2" right="7.874015748031496E-2" top="7.874015748031496E-2" bottom="0.35433070866141736" header="7.874015748031496E-2" footer="7.874015748031496E-2"/>
  <pageSetup paperSize="9" scale="45" orientation="landscape" r:id="rId1"/>
  <headerFooter>
    <oddFooter xml:space="preserve">&amp;C&amp;P/&amp;N
&amp;R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U-RSE</cp:lastModifiedBy>
  <cp:lastPrinted>2022-01-24T10:55:02Z</cp:lastPrinted>
  <dcterms:created xsi:type="dcterms:W3CDTF">2011-02-23T10:55:22Z</dcterms:created>
  <dcterms:modified xsi:type="dcterms:W3CDTF">2024-09-24T08:37:02Z</dcterms:modified>
</cp:coreProperties>
</file>
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F:\SOPAT\"/>
    </mc:Choice>
  </mc:AlternateContent>
  <bookViews>
    <workbookView xWindow="-120" yWindow="-120" windowWidth="24150" windowHeight="9735" tabRatio="285"/>
  </bookViews>
  <sheets>
    <sheet name="2025" sheetId="3" r:id="rId1"/>
  </sheets>
  <definedNames>
    <definedName name="_xlnm._FilterDatabase" localSheetId="0" hidden="1">'2025'!$A$12:$AN$60</definedName>
  </definedNames>
  <calcPr calcId="152511"/>
</workbook>
</file>

<file path=xl/calcChain.xml><?xml version="1.0" encoding="utf-8"?>
<calcChain xmlns="http://schemas.openxmlformats.org/spreadsheetml/2006/main">
  <c r="R10" i="3" l="1"/>
  <c r="U10" i="3"/>
  <c r="X10" i="3"/>
  <c r="U9" i="3" l="1"/>
  <c r="X7" i="3"/>
  <c r="X8" i="3"/>
  <c r="X9" i="3"/>
  <c r="C4" i="3" l="1"/>
  <c r="K7" i="3"/>
  <c r="N10" i="3"/>
  <c r="K8" i="3"/>
  <c r="K9" i="3"/>
  <c r="K10" i="3"/>
  <c r="N7" i="3"/>
  <c r="N8" i="3"/>
  <c r="N9" i="3"/>
  <c r="A15" i="3"/>
  <c r="A16" i="3" l="1"/>
  <c r="A17" i="3" s="1"/>
  <c r="A18" i="3" s="1"/>
  <c r="A19" i="3" s="1"/>
  <c r="A20" i="3" s="1"/>
  <c r="A21" i="3" s="1"/>
  <c r="A22" i="3" s="1"/>
  <c r="A23" i="3" s="1"/>
  <c r="U8" i="3"/>
  <c r="U7" i="3"/>
  <c r="R9" i="3"/>
  <c r="R8" i="3"/>
  <c r="R7" i="3"/>
  <c r="G10" i="3"/>
  <c r="G9" i="3"/>
  <c r="G8" i="3"/>
  <c r="C8" i="3"/>
  <c r="G7" i="3"/>
  <c r="C7" i="3"/>
  <c r="A24" i="3" l="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C10" i="3" l="1"/>
  <c r="S8" i="3" s="1"/>
  <c r="V9" i="3" l="1"/>
  <c r="S10" i="3"/>
  <c r="Y10" i="3"/>
  <c r="V10" i="3"/>
  <c r="D8" i="3"/>
  <c r="H8" i="3"/>
  <c r="O8" i="3"/>
  <c r="V8" i="3"/>
  <c r="L8" i="3"/>
  <c r="D7" i="3"/>
  <c r="Y7" i="3"/>
  <c r="O10" i="3"/>
  <c r="S7" i="3"/>
  <c r="Y8" i="3"/>
  <c r="O9" i="3"/>
  <c r="H10" i="3"/>
  <c r="L10" i="3"/>
  <c r="O7" i="3"/>
  <c r="S9" i="3"/>
  <c r="Y9" i="3"/>
  <c r="H7" i="3"/>
  <c r="L9" i="3"/>
  <c r="L7" i="3"/>
  <c r="H9" i="3"/>
  <c r="V7" i="3"/>
</calcChain>
</file>

<file path=xl/sharedStrings.xml><?xml version="1.0" encoding="utf-8"?>
<sst xmlns="http://schemas.openxmlformats.org/spreadsheetml/2006/main" count="1081" uniqueCount="408">
  <si>
    <t>Date de clôture</t>
  </si>
  <si>
    <t>Date d'évaluation</t>
  </si>
  <si>
    <t>Prévue</t>
  </si>
  <si>
    <t>Réalisée</t>
  </si>
  <si>
    <t>N° Fiche</t>
  </si>
  <si>
    <t>Identification de la NC</t>
  </si>
  <si>
    <t>Date</t>
  </si>
  <si>
    <t>NB</t>
  </si>
  <si>
    <t>Réclamation PI</t>
  </si>
  <si>
    <t>Audit</t>
  </si>
  <si>
    <t>Interne</t>
  </si>
  <si>
    <t>%</t>
  </si>
  <si>
    <t>Répartition Type de NC</t>
  </si>
  <si>
    <t>Type de NC</t>
  </si>
  <si>
    <t>NC Système</t>
  </si>
  <si>
    <t>Janvier</t>
  </si>
  <si>
    <t>Février</t>
  </si>
  <si>
    <t>Mars</t>
  </si>
  <si>
    <t>Avril</t>
  </si>
  <si>
    <t>Mai</t>
  </si>
  <si>
    <t>Juin</t>
  </si>
  <si>
    <t>Juillet</t>
  </si>
  <si>
    <t>Septembre</t>
  </si>
  <si>
    <t>Octobre</t>
  </si>
  <si>
    <t>Novembre</t>
  </si>
  <si>
    <t>Décembre</t>
  </si>
  <si>
    <t>Répartition source de NC</t>
  </si>
  <si>
    <t>Processus</t>
  </si>
  <si>
    <t xml:space="preserve"> NC Technique</t>
  </si>
  <si>
    <t>RH</t>
  </si>
  <si>
    <t>ET</t>
  </si>
  <si>
    <t>CO</t>
  </si>
  <si>
    <t>AC</t>
  </si>
  <si>
    <t>Source de NC</t>
  </si>
  <si>
    <t>Date de MAJ :</t>
  </si>
  <si>
    <t>Réclamation Client</t>
  </si>
  <si>
    <t xml:space="preserve">Août </t>
  </si>
  <si>
    <t xml:space="preserve">REGISTRE DE SUIVI DES NON-CONFORMITES, PNC ET RECLAMATIONS 
</t>
  </si>
  <si>
    <t xml:space="preserve">Mois </t>
  </si>
  <si>
    <t>Total des écarts</t>
  </si>
  <si>
    <t>Détecteur</t>
  </si>
  <si>
    <t>Date(s) de correction</t>
  </si>
  <si>
    <t>Date(s) des actions correctives</t>
  </si>
  <si>
    <t>Processus rattaché</t>
  </si>
  <si>
    <t>Réalisée(s)</t>
  </si>
  <si>
    <t>Prévue(s)</t>
  </si>
  <si>
    <t>Référence</t>
  </si>
  <si>
    <t>RE 1</t>
  </si>
  <si>
    <t>RE 2</t>
  </si>
  <si>
    <t>Date(s)</t>
  </si>
  <si>
    <t>Mois</t>
  </si>
  <si>
    <t xml:space="preserve">Impact de la non-conformité </t>
  </si>
  <si>
    <t>Correction</t>
  </si>
  <si>
    <t xml:space="preserve">Autorisation de dérogation  </t>
  </si>
  <si>
    <t xml:space="preserve"> Rebut</t>
  </si>
  <si>
    <t>Action(s)</t>
  </si>
  <si>
    <t>Responsable(s)</t>
  </si>
  <si>
    <t>Actions correctives</t>
  </si>
  <si>
    <t>Etat d'avancement</t>
  </si>
  <si>
    <t>Analyse des causes</t>
  </si>
  <si>
    <t>Désignation de R / O</t>
  </si>
  <si>
    <t xml:space="preserve">Risque </t>
  </si>
  <si>
    <t>Opportunité</t>
  </si>
  <si>
    <t>Nécessité d'une deuxième AC</t>
  </si>
  <si>
    <t>Coordonnées</t>
  </si>
  <si>
    <t>Document de référence</t>
  </si>
  <si>
    <t>NC Technique</t>
  </si>
  <si>
    <t>RE2</t>
  </si>
  <si>
    <t>X</t>
  </si>
  <si>
    <t>anis.aldebibi@gmail.com</t>
  </si>
  <si>
    <t>FOR-MI-05</t>
  </si>
  <si>
    <t>TEM</t>
  </si>
  <si>
    <t>NC N°1</t>
  </si>
  <si>
    <t>RMI</t>
  </si>
  <si>
    <t>MAM</t>
  </si>
  <si>
    <t>NC N°2</t>
  </si>
  <si>
    <t>benhassineaymen@yahoo.com</t>
  </si>
  <si>
    <t>RE1</t>
  </si>
  <si>
    <t xml:space="preserve">Février </t>
  </si>
  <si>
    <t>NC N°3</t>
  </si>
  <si>
    <t>NC N°4</t>
  </si>
  <si>
    <t>NC N°5</t>
  </si>
  <si>
    <t>NC N°6</t>
  </si>
  <si>
    <t>NC N°7</t>
  </si>
  <si>
    <t>MI1</t>
  </si>
  <si>
    <t>NC système</t>
  </si>
  <si>
    <t>Auditeur</t>
  </si>
  <si>
    <t>L'enjeu du changement climatique n’est pas identifié. Il est toutefois
recommandé d'améliorer les risques et les opportunités qui en découlent.</t>
  </si>
  <si>
    <t>Le registre déchets ANGED n’est pas complétement renseigné.</t>
  </si>
  <si>
    <t>Lors de la revue des pratiques de gestion des équipements au sein
de SOPAT, il a été constaté qu'il n'existe pas de liste exhaustive et
actualisée de l'ensemble du matériel utilisé pour les opérations
d'entretien et d'aménagement paysager (tondeuses, véhicules,
outils manuels, etc.). Les informations relatives à l'état des
équipements ne sont pas centralisées ou documentées de manière
formelle."</t>
  </si>
  <si>
    <t>Les prestataires de de services notamment ceux des pépinières
et ceux de l’entretien des véhicules sont évalués selon des
critères bien définis. Il est recommandé de mettre en œuvre un
programme structuré de sensibilisation et d’engagement de ces
prestataires de services afin d’aligner leurs pratiques avec les
objectifs de performance environnementale et de qualité.</t>
  </si>
  <si>
    <t>Le processus de réalisation et entretien PRS-RE-01 ne dispose pas
d'un planning documenté, défini et mis en œuvre, conformément aux exigences de la norme ISO 9001:2015.
L'absence d'un planning formalisé démontre une non-maîtrise de ces aspects, notamment la détermination des ressources, des étapes, des responsabilités et des vérifications nécessaires à l'atteinte de la conformité du service.</t>
  </si>
  <si>
    <t>Renforcer le processus réalisation et entretien par des indicateurs mesurables associées à réalisation du planning dans les délais.</t>
  </si>
  <si>
    <t>Le processus de réalisation et entretien PRS-RE-01 ne garantit pas une revue systématique des changements « projet one resort »</t>
  </si>
  <si>
    <t>Lors de la revue de l'instruction de travail 'Usage phytosanitaire, il est spécifié que les résidus et emballages de produits phytosanitaires doivent être 'jetés dans des sacs poubelles'.</t>
  </si>
  <si>
    <t>Il est recommandé de maitriser la gestion de maintenance curative des équipements (demande d’intervention, actions, temps d’intervention, réception après intervention</t>
  </si>
  <si>
    <t xml:space="preserve"> Il est recommandé de renforcer les Bonnes Pratiques Environnementales pour la Gestion des Pesticides et Phytosanitaires sur Chantier. Cette action vise à optimiser la maîtrise opérationnelle de l'ensemble du cycle de vie de ces produits, de leur stockage et manutention à leur usage et élimination.
L'objectif est de :
-Rendre ces pratiques environnementales plus visibles et transparentes auprès des clients et du public.
- Inciter à l'adoption et à la mise en œuvre de bonnes pratiques environnementales par toutes les équipes sur chantie</t>
  </si>
  <si>
    <t>L’action de formation « Métiers et techniques » a été réalisée conformément au planning de formation, cependant l’évaluation à chaud de l’action de formation n’est pas réalisée. L’évaluation de l’efficacité de cette formation n’est pas réalisée selon les critères définis</t>
  </si>
  <si>
    <t>Les preuves de l'existence de dispositifs de reconnaissance et de
valorisation du personnel sont limitées. Malgré des discussions sur l'importance de la reconnaissance, peu d'actions concrètes, documentées et diffusées sont en place (ex : programmes de feedback régulier, systèmes de récompense, communication des succès individuels/équipes). Cela ne permet pas de démontrer un engagement clair en faveur de la valorisation des collaborateurs, pilier de la performance sociale d'une entreprise responsable."</t>
  </si>
  <si>
    <t>SOPAT ne dispose pas d’une grille de polyvalence permettant de
déterminer, maintenir et démontrer les compétences nécessaires du personnel ayant une incidence sur la performance qualité ou
environnementale Cet aspect sensible doit faire objet d’un risque stratégique.</t>
  </si>
  <si>
    <t>Il a été constaté que le processus de contrôle à la réception n'est pas appliqué de manière systématique, entraînant un risque de réception de produits non conformes et impactant potentiellement la qualité du service et la satisfaction client.</t>
  </si>
  <si>
    <t>Non application de la procédure achat lors de la sélection d’un nouveau fournisseur.</t>
  </si>
  <si>
    <t>L’organisme a recours a un prestataire de service "transporteur " pour des activités ayant une incidence sur la qualité de service sans avoir un contrat ou une convention formalisée qui définit les formalités les responsabilités et les critères de contrôle.
Aucune preuve de sensibilisation par rapport à la politique environnementale, aux AES de ce prestataire.</t>
  </si>
  <si>
    <t>Pour garantir l'efficacité de l'évaluation des fournisseurs et la bonne application des critères établis, il est essentiel de renforcer les processus existants et de définir clairement les responsabilités.</t>
  </si>
  <si>
    <t>Le processus de recrutement interne du poste de "Chef du département Etude" n'a pas démontré une application systématique des principes RSE en matière de gestion du capital humain. Il a été observé que la communication interne insuffisante ou tardive concernant l'opportunité de poste, limitant l'accès équitable à tous les employés potentiellement qualifiés",</t>
  </si>
  <si>
    <t xml:space="preserve"> Il a été constaté que les fiches de fonction ne définissent pas clairement les responsabilités et autorités des fonctions concernées en matière de performance environnementale, de conformité aux obligations de conformité environnementale, ou d'atteinte des objectifs environnementaux.</t>
  </si>
  <si>
    <t>SOPAT a obtenu un label RSE, démontrant son engagement envers des pratiques responsables. Cependant, l'entreprise ne mène pas d'enquêtes de satisfaction du personnel. Sans un tel outil, l'entreprise ne dispose pas de données objectives pour :
• Comprendre les perceptions et les attentes de ses collaborateurs.
• Identifier les points forts et les axes d'amélioration concernant le bien-être au travail, la reconnaissance, les conditions de travail, ou le développement professionnel.</t>
  </si>
  <si>
    <t>SOPAT ne démontre pas une maîtrise adéquate de ses systèmes informatiques et de la gestion de son parc de PC. Cet écart se manifeste
par :
• L'absence d'un planning de maintenance préventive structuré pour ls systèmes informatiques et les équipements (PC),
• L'inexistence de procédures définies pour la gestion curative des
incidents informatiques, ce qui peut impacter la continuité des
activités.
• Un manque de visibilité et de contrôle sur la gestion du parc
informatique (PC), incluant potentiellement l'absence d'inventaire à
jour, de suivi des mises à jour logicielles/matérielles</t>
  </si>
  <si>
    <t>Le bon de commande du projet SUZUKI ne prévoit pas le délai de livraison du service client SUZUKI, Bon de commande Réf RE-008/25 du 21/02/2025
Le processus commercial actuel ne garantit pas la clôture formelle et documentée du délai de livraison avec le client.</t>
  </si>
  <si>
    <t>NC N°8</t>
  </si>
  <si>
    <t>NC N°9</t>
  </si>
  <si>
    <t>NC N°10</t>
  </si>
  <si>
    <t>NC N°11</t>
  </si>
  <si>
    <t>NC N°12</t>
  </si>
  <si>
    <t>NC N°13</t>
  </si>
  <si>
    <t>NC N°14</t>
  </si>
  <si>
    <t>NC N°16</t>
  </si>
  <si>
    <t>NC N°17</t>
  </si>
  <si>
    <t>NC N°18</t>
  </si>
  <si>
    <t>NC N°19</t>
  </si>
  <si>
    <t>NC N°20</t>
  </si>
  <si>
    <t>NC N°21</t>
  </si>
  <si>
    <t>NC N°22</t>
  </si>
  <si>
    <t>NC N°23</t>
  </si>
  <si>
    <t>NC N°24</t>
  </si>
  <si>
    <t>NC N°25</t>
  </si>
  <si>
    <t>NC N°26</t>
  </si>
  <si>
    <t>NC N°27</t>
  </si>
  <si>
    <t>NC N°28</t>
  </si>
  <si>
    <t>NC N°29</t>
  </si>
  <si>
    <t>NC N°30</t>
  </si>
  <si>
    <t>NC N°31</t>
  </si>
  <si>
    <t>NC N°32</t>
  </si>
  <si>
    <t>NC N°33</t>
  </si>
  <si>
    <t>NC N°34</t>
  </si>
  <si>
    <t>NC N°35</t>
  </si>
  <si>
    <t>NC N°36</t>
  </si>
  <si>
    <t>NC N°37</t>
  </si>
  <si>
    <t>NC N°38</t>
  </si>
  <si>
    <t>NC N°39</t>
  </si>
  <si>
    <t>NC N°40</t>
  </si>
  <si>
    <t>NC N°41</t>
  </si>
  <si>
    <t>NC N°42</t>
  </si>
  <si>
    <t>NC N°43</t>
  </si>
  <si>
    <t>NC N°44</t>
  </si>
  <si>
    <t>NC N°45</t>
  </si>
  <si>
    <t xml:space="preserve">Mme Houda Ben Yahia
hdsmidaby@gmail.com  </t>
  </si>
  <si>
    <t>S3 Juin 2025</t>
  </si>
  <si>
    <t>PRM Grand Tunis
PRM Nabeul</t>
  </si>
  <si>
    <t>1) Absence de procédure ou d’instruction définissant la gestion des modifications.
2) Culture opérationnelle de gestion des changements "informelle", sans validation formelle ou traçabilité.
3) Manque de sensibilisation sur les risques liés aux modifications non contrôlées.</t>
  </si>
  <si>
    <t>1) Absence d’une procédure interne imposant la planification formelle du processus.
2) Méconnaissance des exigences normatives liées à la planification des activités.
3) Manque d’outil ou de modèle standardisé pour structurer le suivi du processus.</t>
  </si>
  <si>
    <t>Vérification de la traçabilité et de l’analyse d’impact des modifications dans les projets.</t>
  </si>
  <si>
    <t>MI2</t>
  </si>
  <si>
    <t>PRM</t>
  </si>
  <si>
    <t>Mg.Carpro@utic.com.tn</t>
  </si>
  <si>
    <t>Bonjour à tous ;
Si Mohamed, je me permets de vous contacter pour vous faire part de mon mécontentement Concernant l’état des zones vertes de notre siège El Kram.
Depuis un certain temps j’observe un manque d’entretien et le non-respect de nombre de passage Par semaine Et comme vous pouvez constater des mauvaises herbes, des rosiers non taillés, des plantes sèches...
Je vous demande de bien vouloir prendre les mesures nécessaires pour remédier.</t>
  </si>
  <si>
    <t>Responsable SUZUKI</t>
  </si>
  <si>
    <t>NC N°47</t>
  </si>
  <si>
    <t>Les actions préventives relatives à la tondeuse à gazon sont planifiées au niveau de l’instruction de travail (INS-MI-21), cependant aucune preuve de réalisation n’a pas été démontré.</t>
  </si>
  <si>
    <t>Risque de pannes imprévues de la tondeuse à gazon, perturbe la continuité des travaux, et entraîne un non-respect des exigences ISO 9001:2015 en matière de réalisation planifiée et de preuves documentées. Elle affaiblit la crédibilité du SMQ et limite la capacité d’amélioration continue.</t>
  </si>
  <si>
    <t>1) Manque de planification systématique du suivi et du contrôle de ces actions par un responsable identifié.
2) Habitude de réaliser l’entretien de manière informelle, sans formaliser la preuve (fiche, photo, rapport).</t>
  </si>
  <si>
    <t>S1 Juin 2025</t>
  </si>
  <si>
    <t>Après la diffusion de l'instruction</t>
  </si>
  <si>
    <t>Non respect des exigences de la norme ISO 14001 V 2015</t>
  </si>
  <si>
    <t>NC N°46</t>
  </si>
  <si>
    <t>Manque à gagner : le client a refusé de payer les factures d'entretien des mois précèdents</t>
  </si>
  <si>
    <t>dégradation de l'état des plantes du centre de formation de biat a cause d'un colmatage au niveau de système d'arrosage</t>
  </si>
  <si>
    <t>Risque d’insatisfaction client et non-conformité esthétique.</t>
  </si>
  <si>
    <t>Dégradation du gazon, coût de réparation et risque d’insatisfaction client.</t>
  </si>
  <si>
    <t>Image négative et risque contractuel.</t>
  </si>
  <si>
    <t>Non-respect des engagements, perte de confiance client.</t>
  </si>
  <si>
    <t>Difficulté à évaluer la performance du processus.</t>
  </si>
  <si>
    <t>Manque de traçabilité et de maîtrise des équipements.</t>
  </si>
  <si>
    <t>Retards et manque de réactivité.</t>
  </si>
  <si>
    <t>Difficulté à prouver l’efficacité de la formation.</t>
  </si>
  <si>
    <t>Démotivation, faible engagement social.</t>
  </si>
  <si>
    <t>Difficulté à démontrer les compétences disponibles.</t>
  </si>
  <si>
    <t>Atteinte à l’équité interne et image RSE.</t>
  </si>
  <si>
    <t>Ambiguïté dans la responsabilité environnementale.</t>
  </si>
  <si>
    <t>Risque d’impact environnemental et d’image
Non respect des exigences de la norme ISO 14001 V 2015</t>
  </si>
  <si>
    <t>Absence d’un plan de suivi phytosanitaire régulier et manque de procédure de réaction rapide en cas de dépérissement détecté
Manque de sensibilisation ou de formation des équipes sur les signes de dépérissement et les bonnes pratiques d’entretien.</t>
  </si>
  <si>
    <t>Défaut d’arrosage, absence de contrôle périodique, manque de maintenance préventive.</t>
  </si>
  <si>
    <t>Mauvais choix d’espèces, irrigation insuffisante, absence de suivi post-plantation.</t>
  </si>
  <si>
    <t xml:space="preserve">Mauvais réglage des arroseurs, absence de vérification.
Manque de communication entre l'équipe </t>
  </si>
  <si>
    <t>Manque de planification et de suivi des demandes.</t>
  </si>
  <si>
    <t>Suivi de maintenance insuffisant, manque de supervision.</t>
  </si>
  <si>
    <t>Communication et planification défaillantes.</t>
  </si>
  <si>
    <t>Mauvaise interprétation des instructions.</t>
  </si>
  <si>
    <t>Objectifs non définis.</t>
  </si>
  <si>
    <t>Données non centralisées.</t>
  </si>
  <si>
    <t>Formation et sensibilisation insuffisantes.</t>
  </si>
  <si>
    <t>Processus d’évaluation non appliqué.</t>
  </si>
  <si>
    <t>Manque d’initiatives documentées.</t>
  </si>
  <si>
    <t>Processus RH incomplet.</t>
  </si>
  <si>
    <t>Communication insuffisante.</t>
  </si>
  <si>
    <t>Fiches de poste non mises à jour.</t>
  </si>
  <si>
    <t xml:space="preserve">Eenvoyer un mail au MAM pour intervenir pour le réglage et repositionnement des arroseurs.
</t>
  </si>
  <si>
    <t>Réviser l’instruction de travail pour modifier le point "Jeter les flacons vides dans des boîtes en bois"</t>
  </si>
  <si>
    <t>Créer un inventaire complet et créer un inventaire complet</t>
  </si>
  <si>
    <t>Mise à jour des pratiques et sensibilisation.</t>
  </si>
  <si>
    <t>Réaliser l’évaluation à chaud et à froid.</t>
  </si>
  <si>
    <t>Mettre en place un système de valorisation.</t>
  </si>
  <si>
    <t>Créer une grille de polyvalence.</t>
  </si>
  <si>
    <t>Réviser les fiches de fonction.</t>
  </si>
  <si>
    <t>Suivi hebdomadaire, vérification du système d’irrigation et formation des équipes.</t>
  </si>
  <si>
    <t>Livraison des plantes nécessaires
6 Metrosideros (pot 24) pour l'hôtel Radisson.
6 Christmas (pot 35) pour la villa de M. Hatem Kafi.</t>
  </si>
  <si>
    <t>Adapter le choix des espèces, établir un suivi post-plantation.</t>
  </si>
  <si>
    <t>Répondre au mail du MAM pour intervention corrective immédiate.
Intervention de réparation du système d'arrosage de BMW</t>
  </si>
  <si>
    <t>Renforcer la fréquence des contrôles et reporting terrain.</t>
  </si>
  <si>
    <t>Communiquer avec le MAM pour comprendre la situation et ispection complète du site et passage d'entretien en urgence</t>
  </si>
  <si>
    <t>Améliorer la communication équipe–superviseur et les checklists d’intervention.</t>
  </si>
  <si>
    <t>Communiquer avec le MAM pour comprendre la situation
MAIL MAM: Je tiens à confirmer que notre équipe a bien effectué l’intervention comme prévu lors de notre passage chez GAT Assurances.
Le responsable habituel n’était pas présent à notre arrivée, mais la femme de ménage nous a ouvert l’accès, y compris pour la zone du sous-sol. Le travail a été réalisé comme d’habitude. Il est possible que Monsieur Ahmed n’ait pas été informé de cela, ce qui expliquerait la réclamation.
Nous restons disponibles si une vérification complémentaire est nécessaire, mais nous confirmons que l’intervention a bien eu lieu.</t>
  </si>
  <si>
    <t>Intégrer le planning dans le SMQ avec validation hiérarchique.</t>
  </si>
  <si>
    <t>Mettre en place une gestion conforme (collecte sécurisée et prestataire agréé).</t>
  </si>
  <si>
    <t>Mettre en place un tableau de bord de suivi.</t>
  </si>
  <si>
    <t>Élaborer et tenir à jour un registre matériel + état.</t>
  </si>
  <si>
    <t>Élaborer une procédure environnementale visible sur chantier.</t>
  </si>
  <si>
    <t>Créer une grille d’évaluation standardisée.</t>
  </si>
  <si>
    <t>Élaborer un programme de reconnaissance interne (feedback, primes).</t>
  </si>
  <si>
    <t>Cartographier les compétences et actualiser périodiquement.</t>
  </si>
  <si>
    <t>Garantir transparence et égalité d’accès aux postes.</t>
  </si>
  <si>
    <t>Ajouter responsabilités qualité/environnement et validation RH.</t>
  </si>
  <si>
    <t>qualité du service</t>
  </si>
  <si>
    <t>image client</t>
  </si>
  <si>
    <t>satisfaction client</t>
  </si>
  <si>
    <t>relation client</t>
  </si>
  <si>
    <t>Non-conformité par rapport à ISO 9001 V2015</t>
  </si>
  <si>
    <t>Faiblesse de gestion de projet</t>
  </si>
  <si>
    <t>performance équipement</t>
  </si>
  <si>
    <t>environnemental</t>
  </si>
  <si>
    <t>A améliorer</t>
  </si>
  <si>
    <t>performance opérationnelle</t>
  </si>
  <si>
    <t>maintenance</t>
  </si>
  <si>
    <t xml:space="preserve">environnemental </t>
  </si>
  <si>
    <t>compétence</t>
  </si>
  <si>
    <t>performance sociale</t>
  </si>
  <si>
    <t>stratégique RH</t>
  </si>
  <si>
    <t>RSE / opportunité</t>
  </si>
  <si>
    <t>conformité environnementale</t>
  </si>
  <si>
    <t>Élaborer un modèle de planning opérationnel et intégration du document dans le processus PRS-RE-01</t>
  </si>
  <si>
    <t>Définir une procèdure de gestion des modifications dans le processus et création de formulaire de revue et de validation des modifications</t>
  </si>
  <si>
    <t>A parti de juillet 2025</t>
  </si>
  <si>
    <t>Manque de données objectives sur le climat social, le bien-être et la motivation du personnel, ce qui peut impacter la performance globale et l’image RSE.</t>
  </si>
  <si>
    <t>Risque de réception de produits non conformes pouvant altérer la qualité du service et la satisfaction client.</t>
  </si>
  <si>
    <t>Risque d’intégration de fournisseurs non qualifiés pouvant impacter la qualité et la conformité des prestations.</t>
  </si>
  <si>
    <t>Risque de non-conformité contractuelle et environnementale pouvant nuire à la qualité du service.</t>
  </si>
  <si>
    <t>Manque d’alignement entre les pratiques des prestataires et les objectifs qualité/environnement SOPAT.</t>
  </si>
  <si>
    <t>Risque de mauvaise évaluation des fournisseurs entraînant une baisse de la qualité et de la conformité.</t>
  </si>
  <si>
    <t>Risque d’interruption d’activité et perte de données impactant la performance globale.</t>
  </si>
  <si>
    <t>Risque de dérive de la qualité des services et insatisfaction client.</t>
  </si>
  <si>
    <t>Risque de non-conformité réglementaire et impact environnemental non maîtrisé.</t>
  </si>
  <si>
    <t>Risque de récurrence du problème et d’insatisfaction client accrue.</t>
  </si>
  <si>
    <t>Opportunité d’améliorer la durabilité et la performance environnementale.</t>
  </si>
  <si>
    <t>Risque de méconnaissance des attentes clients et de baisse de satisfaction.</t>
  </si>
  <si>
    <t>Risque de retard dans le traitement et d’insatisfaction client.</t>
  </si>
  <si>
    <t>Risque de non-conformité réglementaire et d’audit environnemental défavorable.</t>
  </si>
  <si>
    <t>Risque de pénurie de main-d’œuvre et non-conformité légale.</t>
  </si>
  <si>
    <t>Risque de non-détection des écarts majeurs et d’inefficacité du SMQ.</t>
  </si>
  <si>
    <t>Opportunité d’amélioration stratégique et d’innovation.</t>
  </si>
  <si>
    <t>Risque de confusion des rôles et de perte d’efficacité managériale.</t>
  </si>
  <si>
    <t>Opportunité d’améliorer la maîtrise environnementale.</t>
  </si>
  <si>
    <t>Risque d’erreurs et de non-conformité dans les décisions commerciales.</t>
  </si>
  <si>
    <t>Risque de litige client et de non-respect des engagements contractuels.</t>
  </si>
  <si>
    <t>Risque de défaillances techniques et de non-conformité réglementaire.</t>
  </si>
  <si>
    <t>Risque d’erreur non détectée avant exécution des projets.</t>
  </si>
  <si>
    <t>Risque de manque de visibilité et de retard non anticipé.</t>
  </si>
  <si>
    <t>Risque de non-évaluation de l’efficacité du processus.</t>
  </si>
  <si>
    <t>Risque de détérioration esthétique et financière du site.</t>
  </si>
  <si>
    <t>Risque d’insatisfaction client et de perte de contrat.</t>
  </si>
  <si>
    <t>Mettre en place et administrer périodiquement une enquête de satisfaction du personnel.</t>
  </si>
  <si>
    <t>Appliquer systématiquement la procédure de contrôle à la réception.</t>
  </si>
  <si>
    <t>Appliquer strictement la procédure d’achat et de sélection.</t>
  </si>
  <si>
    <t>Établir un contrat définissant responsabilités et critères de contrôle, et sensibiliser le prestataire.</t>
  </si>
  <si>
    <t>Mettre en œuvre un programme de sensibilisation et d’engagement des prestataires.</t>
  </si>
  <si>
    <t>Revoir la procédure d’évaluation et clarifier les rôles et responsabilités.</t>
  </si>
  <si>
    <t>Élaborer un planning de maintenance et un inventaire à jour du matériel informatique.</t>
  </si>
  <si>
    <t>Mettre en place un registre des changements avec validation systématique.</t>
  </si>
  <si>
    <t>Élaborer et tester une procédure de gestion des urgences environnementales.</t>
  </si>
  <si>
    <t>Identifier et enregistrer les causes et actions correctives pour chaque réclamation.</t>
  </si>
  <si>
    <t>Intégrer le changement climatique dans l’analyse du contexte et des risques.</t>
  </si>
  <si>
    <t>Mettre à jour la procédure pour intégrer des délais de traitement.</t>
  </si>
  <si>
    <t>Compléter et vérifier régulièrement le registre déchets.</t>
  </si>
  <si>
    <t>Actualiser l’analyse des risques et opportunités.</t>
  </si>
  <si>
    <t>Réviser le plan d’audit selon le niveau de risque et d’importance des processus.</t>
  </si>
  <si>
    <t>Mettre à jour l’analyse du contexte pour inclure la veille et la concurrence.</t>
  </si>
  <si>
    <t>Scinder le processus de pilotage en deux volets distincts.</t>
  </si>
  <si>
    <t>Renforcer le suivi et la documentation des AES.</t>
  </si>
  <si>
    <t>Inclure systématiquement un délai contractuel dans les bons de commande.</t>
  </si>
  <si>
    <t>Compléter les exigences techniques, légales et de risques avant conception.</t>
  </si>
  <si>
    <t>Documenter la validation à chaque étape du processus.</t>
  </si>
  <si>
    <t>Développer un tableau de bord de suivi des études.</t>
  </si>
  <si>
    <t>Ajouter un indicateur de performance interne.</t>
  </si>
  <si>
    <t>Nettoyer et contrôler le système d’arrosage.</t>
  </si>
  <si>
    <t>Planifier des passages conformes et renforcer le suivi qualité.</t>
  </si>
  <si>
    <t>Omission de cette exigence dans la planification RSE et absence de responsable désigné pour son suivi.</t>
  </si>
  <si>
    <t>Manque de formation et de supervision du personnel chargé du contrôle.</t>
  </si>
  <si>
    <t>Manque de rigueur dans l’application du processus achat et absence de validation formelle.</t>
  </si>
  <si>
    <t>Absence de procédure de contractualisation des prestataires externes.</t>
  </si>
  <si>
    <t>Absence de plan de communication externe dans le système QSE.</t>
  </si>
  <si>
    <t>Manque de définition claire des responsabilités et d’outils d’évaluation standardisés.</t>
  </si>
  <si>
    <t>Absence de procédures formalisées et de suivi régulier.</t>
  </si>
  <si>
    <t>Manque de procédure claire pour la revue et l’approbation des changements.</t>
  </si>
  <si>
    <t>Absence de documentation et d’exercices de simulation enregistrés.</t>
  </si>
  <si>
    <t>Absence de formalisation et de suivi des réclamations.</t>
  </si>
  <si>
    <t>Omission de l’enjeu climatique dans le système de management.</t>
  </si>
  <si>
    <t>Absence d’un processus structuré de collecte de feedback.</t>
  </si>
  <si>
    <t>Manque de définition temporelle dans la procédure.</t>
  </si>
  <si>
    <t>Absence de suivi systématique du remplissage du registre.</t>
  </si>
  <si>
    <t>Manque de veille réglementaire proactive.</t>
  </si>
  <si>
    <t>Planification basée uniquement sur la fréquence et non la criticité.</t>
  </si>
  <si>
    <t>Manque d’approche prospective dans le management stratégique.</t>
  </si>
  <si>
    <t>Structure managériale non segmentée entre vision stratégique et opérationnelle.</t>
  </si>
  <si>
    <t>Suivi insuffisant des actions associées aux AES.</t>
  </si>
  <si>
    <t>Absence de processus d’évaluation structuré avant décision.</t>
  </si>
  <si>
    <t>Omission du champ délai dans le modèle de bon de commande.</t>
  </si>
  <si>
    <t>Analyse incomplète lors des études préliminaires.</t>
  </si>
  <si>
    <t>Absence de traçabilité des vérifications internes.</t>
  </si>
  <si>
    <t>Suivi des projets non centralisé ni visualisé.</t>
  </si>
  <si>
    <t>Suivi de performance partiel.</t>
  </si>
  <si>
    <t>Absence de maintenance préventive du réseau d’irrigation.</t>
  </si>
  <si>
    <t>Suivi insuffisant du planning et communication défaillante.</t>
  </si>
  <si>
    <t>1. Élaborer un questionnaire d’évaluation du personnel.
2. Planifier une enquête annuelle.
3. Désigner un responsable RSE pour le suivi.
4. Analyser et exploiter les résultats pour l’amélioration continue.</t>
  </si>
  <si>
    <t>1. Sensibiliser le personnel sur les exigences de la procédure.
2. Mettre en place un suivi systématique avec fiches de contrôle.
3. Réaliser des audits internes ciblés.</t>
  </si>
  <si>
    <t>1. Former le personnel sur la procédure achat.
2. Mettre en place un contrôle de validation avant tout engagement fournisseur.
3. Réaliser un audit achat annuel.</t>
  </si>
  <si>
    <t>1. Formaliser les contrats avec tous les prestataires.
2. Intégrer les clauses environnementales.
3. Organiser une session de sensibilisation.</t>
  </si>
  <si>
    <t>1. Élaborer un plan annuel de sensibilisation.
2. Inclure les prestataires dans les réunions qualité.
3. Évaluer périodiquement leur engagement.</t>
  </si>
  <si>
    <t>Mettre à jour la procédure d’évaluation des fournisseurs et former les responsables concernés.</t>
  </si>
  <si>
    <t>Mettre en place un plan de maintenance préventive et curative pour les PC et systèmes.</t>
  </si>
  <si>
    <t>Formaliser une procédure de gestion des changements et sensibiliser le personnel.</t>
  </si>
  <si>
    <t>Mettre en œuvre et documenter les simulations d’urgence.</t>
  </si>
  <si>
    <t>Renforcer la procédure de gestion des réclamations (PRC-MI-06).</t>
  </si>
  <si>
    <t>Mettre à jour l’analyse des risques et opportunités pour inclure le changement climatique.</t>
  </si>
  <si>
    <t>Développer un questionnaire et formaliser le processus d’analyse des résultats.</t>
  </si>
  <si>
    <t>Intégrer des délais standards selon le niveau de gravité de la réclamation.</t>
  </si>
  <si>
    <t>Mettre en place un contrôle périodique du registre ANGED.</t>
  </si>
  <si>
    <t>Mettre à jour la matrice des risques RH et adapter la stratégie de recrutement.</t>
  </si>
  <si>
    <t>Appliquer une approche basée sur les risques pour la planification des audits.</t>
  </si>
  <si>
    <t>Intégrer la veille concurrentielle et technologique dans la revue de direction.</t>
  </si>
  <si>
    <t>Créer deux processus : Pilotage stratégique et Pilotage organisationnel.</t>
  </si>
  <si>
    <t>Mettre à jour le plan de gestion environnementale avec indicateurs.</t>
  </si>
  <si>
    <t>Créer un modèle d’étude technique et économique à archiver systématiquement.</t>
  </si>
  <si>
    <t>Mettre à jour le modèle FOR-CO-01 et sensibiliser le service commercial.</t>
  </si>
  <si>
    <t>Mettre en place une check-list de validation des entrées de conception.</t>
  </si>
  <si>
    <t>Introduire un formulaire de validation et signature interne.</t>
  </si>
  <si>
    <t>Créer un outil numérique de suivi des tâches et jalons.</t>
  </si>
  <si>
    <t>Intégrer un KPI : % projets validés / projets réalisés.</t>
  </si>
  <si>
    <t>Planifier un entretien régulier et former le personnel technique.</t>
  </si>
  <si>
    <t>Mettre en place un contrôle qualité régulier et une supervision accrue.</t>
  </si>
  <si>
    <r>
      <t xml:space="preserve">Réponse Client / PI *
</t>
    </r>
    <r>
      <rPr>
        <b/>
        <sz val="9"/>
        <color indexed="10"/>
        <rFont val="Arial"/>
        <family val="2"/>
      </rPr>
      <t>(En cas de réclamation client / PI)</t>
    </r>
  </si>
  <si>
    <r>
      <t xml:space="preserve">Je vous remercie de bien vouloir préparer un devis pour le remplacement de 70 plants d' Eugenia Etna Fire, afin qu’il puisse être transmis au </t>
    </r>
    <r>
      <rPr>
        <b/>
        <u/>
        <sz val="9"/>
        <color indexed="8"/>
        <rFont val="Arial"/>
        <family val="2"/>
      </rPr>
      <t>BMW</t>
    </r>
    <r>
      <rPr>
        <sz val="9"/>
        <color indexed="8"/>
        <rFont val="Arial"/>
        <family val="2"/>
      </rPr>
      <t>.</t>
    </r>
  </si>
  <si>
    <r>
      <t xml:space="preserve">Envoyer un devis de mise en forme du siège </t>
    </r>
    <r>
      <rPr>
        <b/>
        <sz val="9"/>
        <color indexed="8"/>
        <rFont val="Arial"/>
        <family val="2"/>
      </rPr>
      <t>RE--083/20 du 17/01/2025</t>
    </r>
  </si>
  <si>
    <r>
      <t xml:space="preserve">Dégradation de l'état des plantes du mur de </t>
    </r>
    <r>
      <rPr>
        <b/>
        <u/>
        <sz val="9"/>
        <color indexed="8"/>
        <rFont val="Arial"/>
        <family val="2"/>
      </rPr>
      <t>GAT ASSURANCES</t>
    </r>
  </si>
  <si>
    <r>
      <t xml:space="preserve">Envoyer un devis de mise en forme du siège </t>
    </r>
    <r>
      <rPr>
        <b/>
        <sz val="9"/>
        <color indexed="8"/>
        <rFont val="Arial"/>
        <family val="2"/>
      </rPr>
      <t xml:space="preserve">RE--030/20 du 15/01/2025
</t>
    </r>
    <r>
      <rPr>
        <sz val="9"/>
        <color indexed="8"/>
        <rFont val="Arial"/>
        <family val="2"/>
      </rPr>
      <t>Arrachage d'un Washingtonia filifera mort (faute du client)
Fourniture et pose de 60 Sedum pot 16
Fourniture de 7 sacs galet 20/40</t>
    </r>
  </si>
  <si>
    <r>
      <t xml:space="preserve">Necessité de remplacement des plantes au niveau des projets </t>
    </r>
    <r>
      <rPr>
        <b/>
        <u/>
        <sz val="9"/>
        <color indexed="8"/>
        <rFont val="Arial"/>
        <family val="2"/>
      </rPr>
      <t>hôtel RADISSON</t>
    </r>
    <r>
      <rPr>
        <sz val="9"/>
        <color indexed="8"/>
        <rFont val="Arial"/>
        <family val="2"/>
      </rPr>
      <t xml:space="preserve"> et </t>
    </r>
    <r>
      <rPr>
        <b/>
        <u/>
        <sz val="9"/>
        <color indexed="8"/>
        <rFont val="Arial"/>
        <family val="2"/>
      </rPr>
      <t>villa Hate Kefi</t>
    </r>
  </si>
  <si>
    <r>
      <t xml:space="preserve">Bonjour,
Lors de notre passage à la </t>
    </r>
    <r>
      <rPr>
        <b/>
        <u/>
        <sz val="9"/>
        <color indexed="8"/>
        <rFont val="Arial"/>
        <family val="2"/>
      </rPr>
      <t>Villa Walid Sfia</t>
    </r>
    <r>
      <rPr>
        <sz val="9"/>
        <color indexed="8"/>
        <rFont val="Arial"/>
        <family val="2"/>
      </rPr>
      <t>, nous avons constaté des anomalies au niveau de l’arrosage nécessitant une intervention rapide. En effet :
L’eau n’atteint pas le centre de la pelouse, entraînant un dessèchement excessif de cette zone.
À l’inverse, une stagnation d’eau est observée dans les coins, ce qui peut nuire à l’équilibre du gazon.
Un arroseur est positionné en bas du bois.
Ces dysfonctionnements présentent un risque important d’endommagement du gazon et d’altération de l’esthétique de la villa, ce qui pourrait engendrer des problèmes avec le client.</t>
    </r>
  </si>
  <si>
    <r>
      <t xml:space="preserve">Nous avons reçu un nouvel appel de M. Sofien, responsable chez </t>
    </r>
    <r>
      <rPr>
        <b/>
        <u/>
        <sz val="9"/>
        <color indexed="8"/>
        <rFont val="Arial"/>
        <family val="2"/>
      </rPr>
      <t>BMW</t>
    </r>
    <r>
      <rPr>
        <sz val="9"/>
        <color indexed="8"/>
        <rFont val="Arial"/>
        <family val="2"/>
      </rPr>
      <t>, concernant l’intervention pour résoudre le problème d’arrosage. Il nous signale qu’il a passé sa demande il y a plus de deux semaines et qu’aucune action n’a encore été entreprise à ce jour.
Ce retard risque d’entraîner une détérioration significative de la pelouse, ce qui pourrait non seulement affecter l’image du site mais aussi engendrer des coûts supplémentaires pour sa remise en état. De plus, cette situation prolongée pourrait impacter négativement la relation avec le client.
Nous vous prions donc de bien vouloir planifier et effectuer cette intervention dans les plus brefs délais. Merci également de nous communiquer la date exacte prévue afin que nous puissions en informer M. Sofien et assurer un suivi efficace.</t>
    </r>
  </si>
  <si>
    <r>
      <t>Nous vous relayons une réclamation de la directrice de l'</t>
    </r>
    <r>
      <rPr>
        <b/>
        <u/>
        <sz val="9"/>
        <color indexed="8"/>
        <rFont val="Arial"/>
        <family val="2"/>
      </rPr>
      <t xml:space="preserve">hôtel Radisson </t>
    </r>
    <r>
      <rPr>
        <sz val="9"/>
        <color indexed="8"/>
        <rFont val="Arial"/>
        <family val="2"/>
      </rPr>
      <t>concernant l’état du jardin. Celui-ci nous a signalé un manque d’entretien,  végétation en mauvais état.</t>
    </r>
  </si>
  <si>
    <r>
      <t xml:space="preserve">Je me permets de vous relayer une réclamation remontée aujourd’hui par Monsieur Ahmed, responsable au sein de </t>
    </r>
    <r>
      <rPr>
        <b/>
        <u/>
        <sz val="9"/>
        <color indexed="8"/>
        <rFont val="Arial"/>
        <family val="2"/>
      </rPr>
      <t>Gat Assurance.</t>
    </r>
    <r>
      <rPr>
        <sz val="9"/>
        <color indexed="8"/>
        <rFont val="Arial"/>
        <family val="2"/>
      </rPr>
      <t xml:space="preserve">
Il nous informe que, malgré l’accès fourni à notre équipe d’entretien hier, aucune intervention n’a été réalisée dans la zone du sous-sol lors de leur passage. Cette omission pourrait impacter la satisfaction du client et le respect de nos engagements.
Afin de traiter cette situation, je vous propose :
Vérifier les consignes données à l’équipe concernant cette intervention.
Analyser les causes de cette omission (communication, planning, accès mal signalé, etc.).</t>
    </r>
  </si>
  <si>
    <t xml:space="preserve">Définir des indicateurs qualité </t>
  </si>
  <si>
    <t>RMI + Concernés</t>
  </si>
  <si>
    <t>Réunion du groupe</t>
  </si>
  <si>
    <t>Intégrer les nouveaux indicateurs dans le tableau de bord de suivi.</t>
  </si>
  <si>
    <t>Insatisfaction du client, perte d’image professionnelle</t>
  </si>
  <si>
    <t>Dégradation du site, mécontentement client, perte de crédibilité.
Risque d’incident matériel et de baisse de performance</t>
  </si>
  <si>
    <t>Revoir le plan d’entretien et renforcer le contrôle qualité des livraisons de végétaux</t>
  </si>
  <si>
    <t>Sensibilisation de l'équipe sur l'importance de la communicatio directe et efficace</t>
  </si>
  <si>
    <t>* L'absence de planification formelle rend les activités de réalisation et d'entretien vulnérables à des retards, des oublis ou des ressources mal allouées, ce qui peut affecter la qualité du service rendu.
* Sans un suivi clair des étapes et des responsabilités, il devient difficile d’optimiser l’utilisation des ressources humaines, matérielles et temporelles.
* Une mauvaise planification peut impacter les délais, la conformité du service rendu et donc, la satisfaction des clients.
* Cette absence enfreint les exigences de planification opérationnelle (réf. ISO 9001:2015 - 8.1), ce qui affaiblit la crédibilité et l’efficacité du SMQ.
* En l’absence d’un planning, il est impossible de démontrer la maîtrise du processus, ce qui constitue un écart critique lors d’audits internes ou de certification.
* Sans plan formel, le retour d’expérience, la mesure de performance et l’amélioration des processus deviennent difficiles à structurer et à piloter.</t>
  </si>
  <si>
    <t>Révision de l’instruction et la diffuser aux concernés</t>
  </si>
  <si>
    <t>Formation et sensibilisation de l'équipe</t>
  </si>
  <si>
    <t>A la revue de direction</t>
  </si>
  <si>
    <t>* L’absence de revue systématique des changements entraîne une mise en œuvre non contrôlée des modifications (ex. : changement de planning, de méthode, de ressources ou de matériaux), ce qui expose le processus à des erreurs, des incohérences et des risques de non-conformité du service final.
* Les changements non revus peuvent impacter la qualité du service livré (retards, mauvaise exécution, désalignement avec les exigences du client), ce qui peut entraîner des réclamations, des reprises de travaux ou une insatisfaction client.
* Cette situation constitue une infraction directe aux exigences du 8.5.6 (Maîtrise des modifications) de la norme ISO 9001:2015. Elle remet en cause la capacité du SMQ à garantir la conformité des produits/services face à des évolutions ou imprévus.
* Sans revue ni enregistrement des changements, il devient impossible de suivre l’historique des décisions prises, d’analyser les impacts des modifications ou d’apprendre des erreurs passées. Cela freine la capacité de l’organisation à capitaliser sur les retours d’expérience et à s’améliorer durablement.
* En audit de certification ou client, l’absence de maîtrise des changements est souvent perçue comme un écart critique, car elle compromet directement la fiabilité du SMQ et le respect des exigences contractuelles et normatives.</t>
  </si>
  <si>
    <t>Accentuer la sensibilisation et la formation des personnels</t>
  </si>
  <si>
    <t>Sensibilisation de la direction de l'importance de lévaluation après la formation</t>
  </si>
  <si>
    <t>Lors de la prochaine formation</t>
  </si>
  <si>
    <t>DG</t>
  </si>
  <si>
    <t>Mise à jour du processur RH</t>
  </si>
  <si>
    <t>Equipe réalisation et entretien</t>
  </si>
  <si>
    <t>Lors de la réception des plantes</t>
  </si>
  <si>
    <t>Après les audits</t>
  </si>
  <si>
    <t>Responsable achat</t>
  </si>
  <si>
    <t>DG et concernés</t>
  </si>
  <si>
    <t>Stratégie 2026</t>
  </si>
  <si>
    <t>Lors de l'examen de la procédure de gestion des réclamations clients, il a été constaté que pour la réclamation client du siège BTE qui consiste à la détection d’une partie des plantes dégradé a été traitée. Les causes de cette réclamation n'ont pas été identifiées et enregistrées. De plus, les actions correctives mises en place pour traiter ces causes et éviter la récurrence de la non-conformité n'ont pas été documentées dans le système.</t>
  </si>
  <si>
    <t>A partir du 30/05/2025</t>
  </si>
  <si>
    <t>A la prochaine NC</t>
  </si>
  <si>
    <t>SOPAT ne dispose pas d’enquête de satisfaction pour recueillir et analyser la perception du client concernant la satisfaction de ses besoins et attentes. Il est recommandé de mener une enquête de satisfaction afin de démontrer une compréhension des besoins clients et une amélioration continue basée sur leur feedback.</t>
  </si>
  <si>
    <t>Mise à jour de l'enquête de satisfaction client.</t>
  </si>
  <si>
    <t>Diffuser l'enqête de satisfaction client d'une manière systèmatique</t>
  </si>
  <si>
    <t>A partir de 2026</t>
  </si>
  <si>
    <t>Lors de l’examen du processus management Intégré, il a été constaté que l’analyse des changements n’est pas maitrisée ce qui peut impacter la qualité des services et la satisfaction clients</t>
  </si>
  <si>
    <t>SOPAT n'a pas démontré la mise en œuvre d'une procédure de
préparation et de réponse aux situations d'urgence tel qu'exigé par la
clause 8.2 de l'ISO 14001:2015. Il n'existe pas de preuves documentées suffisantes (enregistrements, rapports, PV) pour démontrer la réalisation et l'évaluation des simulations de situations d'urgence environnementales.</t>
  </si>
  <si>
    <t>La réponse au client siège BTE qui consiste à détection d’une partie des plantes dégradé a été réalisée, cependant le délai de réponse concernant ces réclamations clients n’est pas prévu lors de la description des activités de la procédure « Traitement des NC et réclamations » (PRC-MI-06)</t>
  </si>
  <si>
    <t>SOPAT n'a pas mis à jour son analyse des risques et opportunités pour prendre en considération l'impact de la nouvelle réglementation interdisant le recours aux sociétés d'intérim. Ce changement externe majeur représente un risque significatif pour la capacité de l'entreprise à maintenir la disponibilité du personnel qualifié nécessaire à l'exécution des activités</t>
  </si>
  <si>
    <t>Il a été observé que la planification actuelle des audits (PLA-MI-01) ne reflète pas de manière adéquate l'importance et la criticité de certains processus clés au sein de SOPAT. Des processus identifiés comme ayant un impact élevé sur les objectifs stratégiques, la conformité réglementaire ou la gestion des risques majeurs, ne bénéficient pas d'une fréquence d'audit proportionnelle à leur criticité.</t>
  </si>
  <si>
    <t>Il est recommandé d’ajouter à la compréhension du contexte les aspects suivants :
-Le contexte concurrentiel (régional, national et international)
- La veille technologique Cette compréhension serait source de risque et opportunité qu’il convient de la déterminer, l’analyser et évaluer son efficacité</t>
  </si>
  <si>
    <t>Afin de renforcer la conformité aux exigences de la norme ISO 9001 et au référentiel RSE et l’inscription dans une vision managériale basée sur la planification stratégique, la bonne gouvernance et le management des risques.
Il est recommandé de scinder les processus de pilotage en 2 processus
– Pilotage stratégique : centré sur la vision à long terme, l’analyse du
risque, la gouvernance et l’alignement avec la stratégie globale.
– Pilotage organisationnel : axé sur le suivi et l’amélioration continue du processus, gestion des non-conformités, atteinte des objectifs</t>
  </si>
  <si>
    <t>Les exigences du chapitre 6.1 sont conformes. L’identification des aspects environnementaux AES spécifiques a été réalisée conformément aux exigences applicables. Il est toutefois recommandé d'améliorer ces actions pour une bonne maitrise des AES</t>
  </si>
  <si>
    <t>Le résultat d’analyse de l’offre « SUZUKI » a été enregistré sur le FOR-CO-01, cependant aucune traçabilité concernant l’étude de l’offre « SUZUKI » L'absence d'étude de faisabilité ne permet pas d'évaluer la viabilité technique, économique et organisationnelle des projets, augmentant ainsi les risques de non-conformité, de dépassement de coûts ou de délais, et d'insatisfaction client.</t>
  </si>
  <si>
    <t>Afin de renforcer la fiabilité et la traçabilité des études réalisées, il est recommandé de systématiser la validation interne à chaque étape clé du processus d’étude. Ces validations devraient être documentées, incluant les preuves des vérifications effectuées, les résultats obtenus et les approbations.</t>
  </si>
  <si>
    <t xml:space="preserve"> Afin d'améliorer la visibilité et la traçabilité de l'avancement de chaque projet d'étude, il est recommandé de développer et de mettre en œuvre un tableau de bord ou un outil de gestion de projet qui permet de suivre en temps réel les étapes clés les tâches accomplies, les ressources allouées et les éventuels retards ou points de blocage</t>
  </si>
  <si>
    <t>Pour une meilleure efficacité du processus étude, Il est recommandé
d’ajouter un indicateur concernant le nombre de projet validé en interne par rapport aux nombre total de projet réalisé</t>
  </si>
  <si>
    <t>S2 Décembre 2025</t>
  </si>
  <si>
    <t>S2 Novembre 2025</t>
  </si>
  <si>
    <t>Après la revue de direction</t>
  </si>
  <si>
    <t>S1 Novembre 2025</t>
  </si>
  <si>
    <t>Formaliser l’étude de faisabilité standardisée.</t>
  </si>
  <si>
    <t>La détermination des éléments d'entrée de la conception est
partiellement efficace. Les conséquences des défaillances potentielles et les exigences légales et réglementaires applicables ne sont pas déterminées de façon appropriée. Aucune traçabilité concernant la vérification de ces éléments.</t>
  </si>
  <si>
    <t>A la prochaine session de récrutement de 2026</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</si>
</sst>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C]mmmm\-yy;@"/>
  </numFmts>
  <fonts count="17" x14ac:knownFonts="1">
    <font>
      <sz val="11"/>
      <color theme="1"/>
      <name val="Calibri"/>
      <family val="2"/>
      <scheme val="minor"/>
    </font>
    <font>
      <sz val="11"/>
      <color indexed="8"/>
      <name val="Calibri"/>
      <family val="2"/>
    </font>
    <font>
      <b/>
      <sz val="9"/>
      <color indexed="8"/>
      <name val="Times New Roman"/>
      <family val="1"/>
    </font>
    <font>
      <b/>
      <sz val="14"/>
      <color indexed="8"/>
      <name val="Times New Roman"/>
      <family val="1"/>
    </font>
    <font>
      <b/>
      <sz val="9"/>
      <color indexed="8"/>
      <name val="Arial"/>
      <family val="2"/>
    </font>
    <font>
      <u/>
      <sz val="8.8000000000000007"/>
      <color theme="10"/>
      <name val="Calibri"/>
      <family val="2"/>
    </font>
    <font>
      <sz val="11"/>
      <color theme="1"/>
      <name val="Arial"/>
      <family val="2"/>
    </font>
    <font>
      <b/>
      <sz val="14"/>
      <color theme="1"/>
      <name val="Arial"/>
      <family val="2"/>
    </font>
    <font>
      <b/>
      <sz val="9"/>
      <color theme="1"/>
      <name val="Arial"/>
      <family val="2"/>
    </font>
    <font>
      <sz val="9"/>
      <color theme="1"/>
      <name val="Arial"/>
      <family val="2"/>
    </font>
    <font>
      <sz val="9"/>
      <color theme="1"/>
      <name val="Calibri"/>
      <family val="2"/>
      <scheme val="minor"/>
    </font>
    <font>
      <b/>
      <sz val="9"/>
      <name val="Arial"/>
      <family val="2"/>
    </font>
    <font>
      <b/>
      <sz val="9"/>
      <color indexed="10"/>
      <name val="Arial"/>
      <family val="2"/>
    </font>
    <font>
      <sz val="9"/>
      <color indexed="8"/>
      <name val="Arial"/>
      <family val="2"/>
    </font>
    <font>
      <u/>
      <sz val="9"/>
      <color theme="10"/>
      <name val="Calibri"/>
      <family val="2"/>
    </font>
    <font>
      <b/>
      <u/>
      <sz val="9"/>
      <color indexed="8"/>
      <name val="Arial"/>
      <family val="2"/>
    </font>
    <font>
      <b/>
      <sz val="18"/>
      <color indexed="8"/>
      <name val="Arial"/>
      <family val="2"/>
    </font>
  </fonts>
  <fills count="10">
    <fill>
      <patternFill patternType="none"/>
    </fill>
    <fill>
      <patternFill patternType="gray125"/>
    </fill>
    <fill>
      <patternFill patternType="solid">
        <fgColor theme="9" tint="0.59999389629810485"/>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00B050"/>
        <bgColor indexed="64"/>
      </patternFill>
    </fill>
    <fill>
      <patternFill patternType="solid">
        <fgColor rgb="FFFF0000"/>
        <bgColor indexed="64"/>
      </patternFill>
    </fill>
  </fills>
  <borders count="13">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3">
    <xf numFmtId="0" fontId="0" fillId="0" borderId="0"/>
    <xf numFmtId="0" fontId="5" fillId="0" borderId="0" applyNumberFormat="0" applyFill="0" applyBorder="0" applyAlignment="0" applyProtection="0">
      <alignment vertical="top"/>
      <protection locked="0"/>
    </xf>
    <xf numFmtId="9" fontId="1" fillId="0" borderId="0" applyFont="0" applyFill="0" applyBorder="0" applyAlignment="0" applyProtection="0"/>
  </cellStyleXfs>
  <cellXfs count="127">
    <xf numFmtId="0" fontId="0" fillId="0" borderId="0" xfId="0"/>
    <xf numFmtId="0" fontId="2" fillId="0" borderId="0" xfId="0" applyFont="1" applyAlignment="1">
      <alignment horizontal="left"/>
    </xf>
    <xf numFmtId="0" fontId="3" fillId="0" borderId="0" xfId="0" applyFont="1" applyAlignment="1">
      <alignment vertical="center" wrapText="1"/>
    </xf>
    <xf numFmtId="0" fontId="0" fillId="0" borderId="0" xfId="0" applyAlignment="1">
      <alignment horizontal="center"/>
    </xf>
    <xf numFmtId="0" fontId="3" fillId="0" borderId="0" xfId="0" applyFont="1" applyAlignment="1">
      <alignment horizontal="center" vertical="center" wrapText="1"/>
    </xf>
    <xf numFmtId="0" fontId="7" fillId="0" borderId="2" xfId="0" applyFont="1" applyBorder="1" applyAlignment="1">
      <alignment horizontal="center" vertical="center"/>
    </xf>
    <xf numFmtId="0" fontId="8" fillId="0" borderId="0" xfId="0" applyFont="1" applyAlignment="1">
      <alignment horizontal="center" vertical="center" wrapText="1"/>
    </xf>
    <xf numFmtId="0" fontId="9" fillId="0" borderId="0" xfId="0" applyFont="1"/>
    <xf numFmtId="0" fontId="2" fillId="0" borderId="0" xfId="0" applyFont="1" applyAlignment="1">
      <alignment horizontal="center" vertical="center" wrapText="1"/>
    </xf>
    <xf numFmtId="0" fontId="10" fillId="0" borderId="0" xfId="0" applyFont="1"/>
    <xf numFmtId="0" fontId="2" fillId="0" borderId="0" xfId="0" applyFont="1" applyAlignment="1">
      <alignment vertical="center" wrapText="1"/>
    </xf>
    <xf numFmtId="0" fontId="10" fillId="0" borderId="0" xfId="0" applyFont="1" applyAlignment="1">
      <alignment horizontal="center"/>
    </xf>
    <xf numFmtId="0" fontId="4" fillId="2" borderId="2" xfId="0" applyFont="1" applyFill="1" applyBorder="1" applyAlignment="1">
      <alignment horizontal="center" vertical="center" wrapText="1"/>
    </xf>
    <xf numFmtId="0" fontId="4" fillId="2" borderId="1" xfId="0" applyFont="1" applyFill="1" applyBorder="1" applyAlignment="1">
      <alignment horizontal="center" vertical="center" wrapText="1"/>
    </xf>
    <xf numFmtId="9" fontId="4" fillId="0" borderId="0" xfId="2" applyFont="1" applyBorder="1" applyAlignment="1">
      <alignment horizontal="center" vertical="center" wrapText="1"/>
    </xf>
    <xf numFmtId="0" fontId="8" fillId="4" borderId="3"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4" fillId="0" borderId="2" xfId="0" applyFont="1" applyBorder="1" applyAlignment="1">
      <alignment horizontal="center" vertical="center" wrapText="1"/>
    </xf>
    <xf numFmtId="9" fontId="4" fillId="0" borderId="1" xfId="2" applyFont="1" applyBorder="1" applyAlignment="1">
      <alignment horizontal="center" vertical="center" wrapText="1"/>
    </xf>
    <xf numFmtId="0" fontId="4" fillId="0" borderId="3" xfId="0" applyFont="1" applyBorder="1" applyAlignment="1">
      <alignment horizontal="center" vertical="center" wrapText="1"/>
    </xf>
    <xf numFmtId="9" fontId="4" fillId="0" borderId="2" xfId="2" applyFont="1" applyBorder="1" applyAlignment="1">
      <alignment horizontal="center" vertical="center" wrapText="1"/>
    </xf>
    <xf numFmtId="0" fontId="8" fillId="0" borderId="2" xfId="0" applyFont="1" applyBorder="1" applyAlignment="1">
      <alignment horizontal="center" vertical="center"/>
    </xf>
    <xf numFmtId="0" fontId="9" fillId="0" borderId="2" xfId="0" applyFont="1" applyBorder="1" applyAlignment="1">
      <alignment horizontal="center" vertical="center"/>
    </xf>
    <xf numFmtId="9" fontId="9" fillId="0" borderId="2" xfId="2" applyFont="1" applyBorder="1" applyAlignment="1">
      <alignment horizontal="center" vertical="center"/>
    </xf>
    <xf numFmtId="9" fontId="9" fillId="0" borderId="0" xfId="2" applyFont="1" applyBorder="1" applyAlignment="1">
      <alignment horizontal="center" vertical="center"/>
    </xf>
    <xf numFmtId="0" fontId="8" fillId="0" borderId="3" xfId="0" applyFont="1" applyBorder="1" applyAlignment="1">
      <alignment horizontal="center" vertical="center"/>
    </xf>
    <xf numFmtId="0" fontId="4" fillId="0" borderId="0" xfId="0" applyFont="1" applyAlignment="1">
      <alignment horizontal="center" vertical="center" wrapText="1"/>
    </xf>
    <xf numFmtId="0" fontId="2" fillId="0" borderId="0" xfId="0" applyFont="1" applyAlignment="1">
      <alignment horizontal="center"/>
    </xf>
    <xf numFmtId="0" fontId="11" fillId="3" borderId="2" xfId="0" applyFont="1" applyFill="1" applyBorder="1" applyAlignment="1">
      <alignment horizontal="center" vertical="center" wrapText="1"/>
    </xf>
    <xf numFmtId="0" fontId="11" fillId="3" borderId="3" xfId="0" applyFont="1" applyFill="1" applyBorder="1" applyAlignment="1">
      <alignment horizontal="center" vertical="center" wrapText="1"/>
    </xf>
    <xf numFmtId="1" fontId="13" fillId="0" borderId="2" xfId="0" applyNumberFormat="1" applyFont="1" applyBorder="1" applyAlignment="1">
      <alignment horizontal="center" vertical="center" wrapText="1"/>
    </xf>
    <xf numFmtId="0" fontId="13" fillId="0" borderId="2" xfId="0" applyFont="1" applyBorder="1" applyAlignment="1">
      <alignment horizontal="center" vertical="center" wrapText="1"/>
    </xf>
    <xf numFmtId="0" fontId="13" fillId="0" borderId="3" xfId="0" applyFont="1" applyBorder="1" applyAlignment="1">
      <alignment horizontal="center" vertical="center" wrapText="1"/>
    </xf>
    <xf numFmtId="0" fontId="14" fillId="0" borderId="3" xfId="1" applyFont="1" applyFill="1" applyBorder="1" applyAlignment="1" applyProtection="1">
      <alignment horizontal="center" vertical="center" wrapText="1"/>
    </xf>
    <xf numFmtId="0" fontId="14" fillId="0" borderId="2" xfId="1" applyFont="1" applyBorder="1" applyAlignment="1" applyProtection="1">
      <alignment horizontal="center" vertical="center" wrapText="1"/>
    </xf>
    <xf numFmtId="14" fontId="13" fillId="0" borderId="2" xfId="0" applyNumberFormat="1" applyFont="1" applyBorder="1" applyAlignment="1">
      <alignment horizontal="center" vertical="center" wrapText="1"/>
    </xf>
    <xf numFmtId="0" fontId="13" fillId="0" borderId="1" xfId="0" applyFont="1" applyBorder="1" applyAlignment="1">
      <alignment horizontal="center" vertical="center" wrapText="1"/>
    </xf>
    <xf numFmtId="9" fontId="4" fillId="0" borderId="2" xfId="0" applyNumberFormat="1" applyFont="1" applyBorder="1" applyAlignment="1">
      <alignment horizontal="center" vertical="center" wrapText="1"/>
    </xf>
    <xf numFmtId="1" fontId="13" fillId="8" borderId="2" xfId="0" applyNumberFormat="1" applyFont="1" applyFill="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5" xfId="0" applyFont="1" applyBorder="1" applyAlignment="1">
      <alignment horizontal="center" vertical="center" wrapText="1"/>
    </xf>
    <xf numFmtId="0" fontId="14" fillId="0" borderId="5" xfId="1" applyFont="1" applyBorder="1" applyAlignment="1" applyProtection="1">
      <alignment horizontal="center" vertical="center" wrapText="1"/>
    </xf>
    <xf numFmtId="14" fontId="13" fillId="0" borderId="5" xfId="0" applyNumberFormat="1" applyFont="1" applyFill="1" applyBorder="1" applyAlignment="1">
      <alignment horizontal="center" vertical="center" wrapText="1"/>
    </xf>
    <xf numFmtId="9" fontId="4" fillId="0" borderId="5" xfId="0" applyNumberFormat="1" applyFont="1" applyBorder="1" applyAlignment="1">
      <alignment horizontal="center" vertical="center" wrapText="1"/>
    </xf>
    <xf numFmtId="0" fontId="9" fillId="0" borderId="2" xfId="0" applyFont="1" applyBorder="1" applyAlignment="1">
      <alignment horizontal="center" vertical="center" wrapText="1"/>
    </xf>
    <xf numFmtId="1" fontId="13" fillId="7" borderId="2" xfId="0" applyNumberFormat="1" applyFont="1" applyFill="1" applyBorder="1" applyAlignment="1">
      <alignment horizontal="center" vertical="center" wrapText="1"/>
    </xf>
    <xf numFmtId="1" fontId="13" fillId="7" borderId="5" xfId="0" applyNumberFormat="1" applyFont="1" applyFill="1" applyBorder="1" applyAlignment="1">
      <alignment horizontal="center" vertical="center" wrapText="1"/>
    </xf>
    <xf numFmtId="0" fontId="13" fillId="0" borderId="1" xfId="0" applyFont="1" applyBorder="1" applyAlignment="1">
      <alignment horizontal="center" vertical="center" wrapText="1"/>
    </xf>
    <xf numFmtId="0" fontId="13" fillId="0" borderId="1" xfId="0" applyFont="1" applyFill="1" applyBorder="1" applyAlignment="1">
      <alignment horizontal="center" vertical="center" wrapText="1"/>
    </xf>
    <xf numFmtId="0" fontId="13" fillId="0" borderId="1" xfId="0" applyFont="1" applyFill="1" applyBorder="1" applyAlignment="1">
      <alignment horizontal="center" vertical="center" wrapText="1"/>
    </xf>
    <xf numFmtId="0" fontId="13" fillId="0" borderId="1" xfId="0" applyFont="1" applyBorder="1" applyAlignment="1">
      <alignment horizontal="center" vertical="center" wrapText="1"/>
    </xf>
    <xf numFmtId="1" fontId="13" fillId="9" borderId="5" xfId="0" applyNumberFormat="1" applyFont="1" applyFill="1" applyBorder="1" applyAlignment="1">
      <alignment horizontal="center" vertical="center" wrapText="1"/>
    </xf>
    <xf numFmtId="1" fontId="13" fillId="9" borderId="2" xfId="0" applyNumberFormat="1" applyFont="1" applyFill="1" applyBorder="1" applyAlignment="1">
      <alignment horizontal="center" vertical="center" wrapText="1"/>
    </xf>
    <xf numFmtId="0" fontId="13" fillId="0" borderId="2" xfId="0" applyFont="1" applyFill="1" applyBorder="1" applyAlignment="1">
      <alignment horizontal="center" vertical="center" wrapText="1"/>
    </xf>
    <xf numFmtId="0" fontId="13" fillId="0" borderId="3" xfId="0" applyFont="1" applyFill="1" applyBorder="1" applyAlignment="1">
      <alignment horizontal="center" vertical="center" wrapText="1"/>
    </xf>
    <xf numFmtId="0" fontId="14" fillId="0" borderId="2" xfId="1" applyFont="1" applyFill="1" applyBorder="1" applyAlignment="1" applyProtection="1">
      <alignment horizontal="center" vertical="center" wrapText="1"/>
    </xf>
    <xf numFmtId="14" fontId="13" fillId="0" borderId="2" xfId="0" applyNumberFormat="1" applyFont="1" applyFill="1" applyBorder="1" applyAlignment="1">
      <alignment horizontal="center" vertical="center" wrapText="1"/>
    </xf>
    <xf numFmtId="0" fontId="13" fillId="0" borderId="3" xfId="0" applyFont="1" applyFill="1" applyBorder="1" applyAlignment="1">
      <alignment horizontal="center" vertical="center" wrapText="1"/>
    </xf>
    <xf numFmtId="9" fontId="4" fillId="0" borderId="2" xfId="0" applyNumberFormat="1" applyFont="1" applyFill="1" applyBorder="1" applyAlignment="1">
      <alignment horizontal="center" vertical="center" wrapText="1"/>
    </xf>
    <xf numFmtId="0" fontId="10" fillId="0" borderId="0" xfId="0" applyFont="1" applyFill="1"/>
    <xf numFmtId="3" fontId="0" fillId="0" borderId="0" xfId="0" applyNumberFormat="1"/>
    <xf numFmtId="0" fontId="14" fillId="0" borderId="4" xfId="1" applyFont="1" applyFill="1" applyBorder="1" applyAlignment="1" applyProtection="1">
      <alignment horizontal="center" vertical="center" wrapText="1"/>
    </xf>
    <xf numFmtId="0" fontId="14" fillId="0" borderId="5" xfId="1" applyFont="1" applyFill="1" applyBorder="1" applyAlignment="1" applyProtection="1">
      <alignment horizontal="center" vertical="center" wrapText="1"/>
    </xf>
    <xf numFmtId="1" fontId="13" fillId="0" borderId="5" xfId="0" applyNumberFormat="1" applyFont="1" applyFill="1" applyBorder="1" applyAlignment="1">
      <alignment horizontal="center" vertical="center" wrapText="1"/>
    </xf>
    <xf numFmtId="0" fontId="13" fillId="0" borderId="5" xfId="0" applyFont="1" applyFill="1" applyBorder="1" applyAlignment="1">
      <alignment horizontal="center" vertical="center" wrapText="1"/>
    </xf>
    <xf numFmtId="0" fontId="2" fillId="0" borderId="0" xfId="0" applyFont="1" applyFill="1" applyAlignment="1">
      <alignment horizontal="center"/>
    </xf>
    <xf numFmtId="17" fontId="13" fillId="0" borderId="2" xfId="0" applyNumberFormat="1" applyFont="1" applyFill="1" applyBorder="1" applyAlignment="1">
      <alignment horizontal="center" vertical="center" wrapText="1"/>
    </xf>
    <xf numFmtId="0" fontId="9" fillId="0" borderId="2" xfId="0" applyFont="1" applyFill="1" applyBorder="1" applyAlignment="1">
      <alignment horizontal="center" vertical="center"/>
    </xf>
    <xf numFmtId="164" fontId="13" fillId="0" borderId="2" xfId="0" applyNumberFormat="1" applyFont="1" applyFill="1" applyBorder="1" applyAlignment="1">
      <alignment horizontal="center" vertical="center" wrapText="1"/>
    </xf>
    <xf numFmtId="1" fontId="9" fillId="7" borderId="2" xfId="0" applyNumberFormat="1" applyFont="1" applyFill="1" applyBorder="1" applyAlignment="1">
      <alignment horizontal="center" vertical="center" wrapText="1"/>
    </xf>
    <xf numFmtId="0" fontId="13" fillId="0" borderId="4" xfId="0" applyFont="1" applyFill="1" applyBorder="1" applyAlignment="1">
      <alignment horizontal="center" vertical="center" wrapText="1"/>
    </xf>
    <xf numFmtId="0" fontId="13" fillId="0" borderId="1" xfId="0" applyFont="1" applyFill="1" applyBorder="1" applyAlignment="1">
      <alignment horizontal="center" vertical="center" wrapText="1"/>
    </xf>
    <xf numFmtId="14" fontId="13" fillId="0" borderId="3" xfId="0" applyNumberFormat="1" applyFont="1" applyFill="1" applyBorder="1" applyAlignment="1">
      <alignment horizontal="center" vertical="center" wrapText="1"/>
    </xf>
    <xf numFmtId="14" fontId="13" fillId="0" borderId="1" xfId="0" applyNumberFormat="1" applyFont="1" applyFill="1" applyBorder="1" applyAlignment="1">
      <alignment horizontal="center" vertical="center" wrapText="1"/>
    </xf>
    <xf numFmtId="14" fontId="13" fillId="0" borderId="3" xfId="0" applyNumberFormat="1" applyFont="1" applyBorder="1" applyAlignment="1">
      <alignment horizontal="center" vertical="center" wrapText="1"/>
    </xf>
    <xf numFmtId="14" fontId="13" fillId="0" borderId="1" xfId="0" applyNumberFormat="1" applyFont="1" applyBorder="1" applyAlignment="1">
      <alignment horizontal="center" vertical="center" wrapText="1"/>
    </xf>
    <xf numFmtId="0" fontId="13" fillId="0" borderId="7" xfId="0" applyFont="1" applyBorder="1" applyAlignment="1">
      <alignment horizontal="center" vertical="center" wrapText="1"/>
    </xf>
    <xf numFmtId="0" fontId="10" fillId="0" borderId="11" xfId="0" applyFont="1" applyBorder="1"/>
    <xf numFmtId="0" fontId="10" fillId="0" borderId="8" xfId="0" applyFont="1" applyBorder="1"/>
    <xf numFmtId="0" fontId="6" fillId="0" borderId="7" xfId="0" applyFont="1" applyBorder="1" applyAlignment="1">
      <alignment horizontal="center"/>
    </xf>
    <xf numFmtId="0" fontId="6" fillId="0" borderId="8" xfId="0" applyFont="1" applyBorder="1" applyAlignment="1">
      <alignment horizontal="center"/>
    </xf>
    <xf numFmtId="0" fontId="6" fillId="0" borderId="9" xfId="0" applyFont="1" applyBorder="1" applyAlignment="1">
      <alignment horizontal="center"/>
    </xf>
    <xf numFmtId="0" fontId="6" fillId="0" borderId="10" xfId="0" applyFont="1" applyBorder="1" applyAlignment="1">
      <alignment horizontal="center"/>
    </xf>
    <xf numFmtId="0" fontId="11" fillId="3" borderId="5" xfId="0" applyFont="1" applyFill="1" applyBorder="1" applyAlignment="1">
      <alignment horizontal="center" vertical="center" wrapText="1"/>
    </xf>
    <xf numFmtId="0" fontId="11" fillId="3" borderId="6"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8"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16" fillId="0" borderId="2" xfId="0" applyFont="1" applyBorder="1" applyAlignment="1">
      <alignment horizontal="center" vertical="center" wrapText="1"/>
    </xf>
    <xf numFmtId="0" fontId="11" fillId="3" borderId="3"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11" fillId="3" borderId="1" xfId="0" applyFont="1" applyFill="1" applyBorder="1" applyAlignment="1">
      <alignment horizontal="center" vertical="center" wrapText="1"/>
    </xf>
    <xf numFmtId="14" fontId="8" fillId="0" borderId="3" xfId="0" applyNumberFormat="1" applyFont="1" applyBorder="1" applyAlignment="1">
      <alignment horizontal="center" vertical="center" wrapText="1"/>
    </xf>
    <xf numFmtId="14" fontId="8" fillId="0" borderId="1" xfId="0" applyNumberFormat="1" applyFont="1" applyBorder="1" applyAlignment="1">
      <alignment horizontal="center" vertical="center" wrapText="1"/>
    </xf>
    <xf numFmtId="0" fontId="11" fillId="3" borderId="7" xfId="0" applyFont="1" applyFill="1" applyBorder="1" applyAlignment="1">
      <alignment horizontal="center" vertical="center" wrapText="1"/>
    </xf>
    <xf numFmtId="0" fontId="11" fillId="3" borderId="11" xfId="0" applyFont="1" applyFill="1" applyBorder="1" applyAlignment="1">
      <alignment horizontal="center" vertical="center" wrapText="1"/>
    </xf>
    <xf numFmtId="0" fontId="11" fillId="3" borderId="8" xfId="0" applyFont="1" applyFill="1" applyBorder="1" applyAlignment="1">
      <alignment horizontal="center" vertical="center" wrapText="1"/>
    </xf>
    <xf numFmtId="0" fontId="11" fillId="3" borderId="9" xfId="0" applyFont="1" applyFill="1" applyBorder="1" applyAlignment="1">
      <alignment horizontal="center" vertical="center" wrapText="1"/>
    </xf>
    <xf numFmtId="0" fontId="11" fillId="3" borderId="12" xfId="0" applyFont="1" applyFill="1" applyBorder="1" applyAlignment="1">
      <alignment horizontal="center" vertical="center" wrapText="1"/>
    </xf>
    <xf numFmtId="0" fontId="11" fillId="3" borderId="10" xfId="0" applyFont="1" applyFill="1" applyBorder="1" applyAlignment="1">
      <alignment horizontal="center" vertical="center" wrapText="1"/>
    </xf>
    <xf numFmtId="0" fontId="13" fillId="0" borderId="3" xfId="0" applyFont="1" applyFill="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1" xfId="0" applyFont="1" applyBorder="1" applyAlignment="1">
      <alignment horizontal="center" vertical="center" wrapText="1"/>
    </xf>
    <xf numFmtId="0" fontId="10" fillId="0" borderId="4" xfId="0" applyFont="1" applyFill="1" applyBorder="1"/>
    <xf numFmtId="0" fontId="10" fillId="0" borderId="1" xfId="0" applyFont="1" applyFill="1" applyBorder="1"/>
    <xf numFmtId="0" fontId="13" fillId="0" borderId="3" xfId="0" applyFont="1" applyBorder="1" applyAlignment="1">
      <alignment horizontal="center" vertical="center" wrapText="1"/>
    </xf>
    <xf numFmtId="0" fontId="10" fillId="0" borderId="4" xfId="0" applyFont="1" applyBorder="1"/>
    <xf numFmtId="0" fontId="10" fillId="0" borderId="1" xfId="0" applyFont="1" applyBorder="1"/>
    <xf numFmtId="0" fontId="13" fillId="0" borderId="7" xfId="0" applyFont="1" applyFill="1" applyBorder="1" applyAlignment="1">
      <alignment horizontal="center" vertical="center" wrapText="1"/>
    </xf>
    <xf numFmtId="0" fontId="13" fillId="0" borderId="11" xfId="0" applyFont="1" applyFill="1" applyBorder="1" applyAlignment="1">
      <alignment horizontal="center" vertical="center" wrapText="1"/>
    </xf>
    <xf numFmtId="0" fontId="13" fillId="0" borderId="8" xfId="0" applyFont="1" applyFill="1" applyBorder="1" applyAlignment="1">
      <alignment horizontal="center" vertical="center" wrapText="1"/>
    </xf>
    <xf numFmtId="0" fontId="13" fillId="0" borderId="1" xfId="0" applyFont="1" applyBorder="1" applyAlignment="1">
      <alignment horizontal="center" vertical="center" wrapText="1"/>
    </xf>
    <xf numFmtId="0" fontId="13" fillId="0" borderId="11" xfId="0" applyFont="1" applyBorder="1" applyAlignment="1">
      <alignment horizontal="center" vertical="center" wrapText="1"/>
    </xf>
    <xf numFmtId="0" fontId="13" fillId="0" borderId="8" xfId="0" applyFont="1" applyBorder="1" applyAlignment="1">
      <alignment horizontal="center" vertical="center" wrapText="1"/>
    </xf>
    <xf numFmtId="14" fontId="13" fillId="0" borderId="7" xfId="0" applyNumberFormat="1" applyFont="1" applyBorder="1" applyAlignment="1">
      <alignment horizontal="center" vertical="center" wrapText="1"/>
    </xf>
    <xf numFmtId="14" fontId="13" fillId="0" borderId="8" xfId="0" applyNumberFormat="1" applyFont="1" applyBorder="1" applyAlignment="1">
      <alignment horizontal="center" vertical="center" wrapText="1"/>
    </xf>
    <xf numFmtId="0" fontId="13" fillId="0" borderId="4" xfId="0" applyFont="1" applyBorder="1" applyAlignment="1">
      <alignment horizontal="center" vertical="center" wrapText="1"/>
    </xf>
    <xf numFmtId="0" fontId="9" fillId="0" borderId="3" xfId="0" applyFont="1" applyFill="1" applyBorder="1" applyAlignment="1">
      <alignment horizontal="center" vertical="center" wrapText="1"/>
    </xf>
    <xf numFmtId="0" fontId="9" fillId="0" borderId="4" xfId="0" applyFont="1" applyFill="1" applyBorder="1" applyAlignment="1">
      <alignment horizontal="center" vertical="center" wrapText="1"/>
    </xf>
    <xf numFmtId="0" fontId="9" fillId="0" borderId="1" xfId="0" applyFont="1" applyFill="1" applyBorder="1" applyAlignment="1">
      <alignment horizontal="center" vertical="center" wrapText="1"/>
    </xf>
    <xf numFmtId="14" fontId="13" fillId="0" borderId="7" xfId="0" applyNumberFormat="1" applyFont="1" applyFill="1" applyBorder="1" applyAlignment="1">
      <alignment horizontal="center" vertical="center" wrapText="1"/>
    </xf>
    <xf numFmtId="14" fontId="13" fillId="0" borderId="8" xfId="0" applyNumberFormat="1" applyFont="1" applyFill="1" applyBorder="1" applyAlignment="1">
      <alignment horizontal="center" vertical="center" wrapText="1"/>
    </xf>
  </cellXfs>
  <cellStyles count="3">
    <cellStyle name="Lien hypertexte" xfId="1" builtinId="8"/>
    <cellStyle name="Normal" xfId="0" builtinId="0"/>
    <cellStyle name="Pourcentage"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117009</xdr:colOff>
      <xdr:row>0</xdr:row>
      <xdr:rowOff>81382</xdr:rowOff>
    </xdr:from>
    <xdr:to>
      <xdr:col>1</xdr:col>
      <xdr:colOff>657737</xdr:colOff>
      <xdr:row>1</xdr:row>
      <xdr:rowOff>462382</xdr:rowOff>
    </xdr:to>
    <xdr:pic>
      <xdr:nvPicPr>
        <xdr:cNvPr id="2" name="Image 2" descr="logo sopat.pn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bwMode="auto">
        <a:xfrm>
          <a:off x="117009" y="81382"/>
          <a:ext cx="1088416" cy="881063"/>
        </a:xfrm>
        <a:prstGeom prst="rect">
          <a:avLst/>
        </a:prstGeom>
        <a:noFill/>
        <a:ln w="9525">
          <a:noFill/>
          <a:miter lim="800000"/>
          <a:headEnd/>
          <a:tailEnd/>
        </a:ln>
      </xdr:spPr>
    </xdr:pic>
    <xdr:clientData/>
  </xdr:twoCellAnchor>
  <xdr:twoCellAnchor editAs="oneCell">
    <xdr:from>
      <xdr:col>17</xdr:col>
      <xdr:colOff>952464</xdr:colOff>
      <xdr:row>0</xdr:row>
      <xdr:rowOff>473866</xdr:rowOff>
    </xdr:from>
    <xdr:to>
      <xdr:col>23</xdr:col>
      <xdr:colOff>179916</xdr:colOff>
      <xdr:row>1</xdr:row>
      <xdr:rowOff>370415</xdr:rowOff>
    </xdr:to>
    <xdr:pic>
      <xdr:nvPicPr>
        <xdr:cNvPr id="3" name="Image 2" descr="80091480_488485278450214_3135376759449452544_n.png">
          <a:extLst>
            <a:ext uri="{FF2B5EF4-FFF2-40B4-BE49-F238E27FC236}">
              <a16:creationId xmlns="" xmlns:a16="http://schemas.microsoft.com/office/drawing/2014/main" id="{00000000-0008-0000-0000-000003000000}"/>
            </a:ext>
          </a:extLst>
        </xdr:cNvPr>
        <xdr:cNvPicPr>
          <a:picLocks noChangeAspect="1"/>
        </xdr:cNvPicPr>
      </xdr:nvPicPr>
      <xdr:blipFill>
        <a:blip xmlns:r="http://schemas.openxmlformats.org/officeDocument/2006/relationships" r:embed="rId2"/>
        <a:srcRect/>
        <a:stretch>
          <a:fillRect/>
        </a:stretch>
      </xdr:blipFill>
      <xdr:spPr bwMode="auto">
        <a:xfrm>
          <a:off x="20976131" y="473866"/>
          <a:ext cx="5450452" cy="393966"/>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file:///D:\SMQ\Strat&#233;gie%20SOPAT\Enregistrements%20MQ\MI\Formulaires\FOR%20MI%2005%20Registre%20de%20suivi%20des%20NC%20PNC%20et%20r&#233;clamations\7.%20GAT%20ASSURANCES%2015-04-2025" TargetMode="External"/><Relationship Id="rId18" Type="http://schemas.openxmlformats.org/officeDocument/2006/relationships/hyperlink" Target="file:///D:\SMQ\Strat&#233;gie%20SOPAT\Enregistrements%20MQ\MI\Formulaires\FOR%20MI%2005%20Registre%20de%20suivi%20des%20NC%20PNC%20et%20r&#233;clamations\10" TargetMode="External"/><Relationship Id="rId26" Type="http://schemas.openxmlformats.org/officeDocument/2006/relationships/hyperlink" Target="file:///D:\SMQ\Strat&#233;gie%20SOPAT\Enregistrements%20MQ\MI\Formulaires\FOR%20MI%2005%20Registre%20de%20suivi%20des%20NC%20PNC%20et%20r&#233;clamations\9%20+%2028" TargetMode="External"/><Relationship Id="rId39" Type="http://schemas.openxmlformats.org/officeDocument/2006/relationships/hyperlink" Target="file:///D:\SMQ\Strat&#233;gie%20SOPAT\Enregistrements%20MQ\MI\Formulaires\FOR%20MI%2005%20Registre%20de%20suivi%20des%20NC%20PNC%20et%20r&#233;clamations\30" TargetMode="External"/><Relationship Id="rId21" Type="http://schemas.openxmlformats.org/officeDocument/2006/relationships/hyperlink" Target="file:///D:\SMQ\Strat&#233;gie%20SOPAT\Enregistrements%20MQ\MI\Formulaires\FOR%20MI%2005%20Registre%20de%20suivi%20des%20NC%20PNC%20et%20r&#233;clamations\13%20+%2014%20+%2027" TargetMode="External"/><Relationship Id="rId34" Type="http://schemas.openxmlformats.org/officeDocument/2006/relationships/hyperlink" Target="file:///D:\SMQ\Strat&#233;gie%20SOPAT\Enregistrements%20MQ\MI\Formulaires\FOR%20MI%2005%20Registre%20de%20suivi%20des%20NC%20PNC%20et%20r&#233;clamations\23%20+%2026" TargetMode="External"/><Relationship Id="rId42" Type="http://schemas.openxmlformats.org/officeDocument/2006/relationships/hyperlink" Target="file:///D:\SMQ\Strat&#233;gie%20SOPAT\Enregistrements%20MQ\MI\Formulaires\FOR%20MI%2005%20Registre%20de%20suivi%20des%20NC%20PNC%20et%20r&#233;clamations\33" TargetMode="External"/><Relationship Id="rId47" Type="http://schemas.openxmlformats.org/officeDocument/2006/relationships/hyperlink" Target="file:///D:\SMQ\Strat&#233;gie%20SOPAT\Enregistrements%20MQ\MI\Formulaires\FOR%20MI%2005%20Registre%20de%20suivi%20des%20NC%20PNC%20et%20r&#233;clamations\38" TargetMode="External"/><Relationship Id="rId50" Type="http://schemas.openxmlformats.org/officeDocument/2006/relationships/hyperlink" Target="file:///D:\SMQ\Strat&#233;gie%20SOPAT\Enregistrements%20MQ\MI\Formulaires\FOR%20MI%2005%20Registre%20de%20suivi%20des%20NC%20PNC%20et%20r&#233;clamations\41" TargetMode="External"/><Relationship Id="rId55" Type="http://schemas.openxmlformats.org/officeDocument/2006/relationships/printerSettings" Target="../printerSettings/printerSettings1.bin"/><Relationship Id="rId7" Type="http://schemas.openxmlformats.org/officeDocument/2006/relationships/hyperlink" Target="mailto:benhassineaymen@yahoo.com" TargetMode="External"/><Relationship Id="rId12" Type="http://schemas.openxmlformats.org/officeDocument/2006/relationships/hyperlink" Target="mailto:anis.aldebibi@gmail.com" TargetMode="External"/><Relationship Id="rId17" Type="http://schemas.openxmlformats.org/officeDocument/2006/relationships/hyperlink" Target="file:///D:\SMQ\Strat&#233;gie%20SOPAT\Enregistrements%20MQ\MI\Formulaires\FOR%20MI%2005%20Registre%20de%20suivi%20des%20NC%20PNC%20et%20r&#233;clamations\9%20+%2028" TargetMode="External"/><Relationship Id="rId25" Type="http://schemas.openxmlformats.org/officeDocument/2006/relationships/hyperlink" Target="file:///D:\SMQ\Strat&#233;gie%20SOPAT\Enregistrements%20MQ\MI\Formulaires\FOR%20MI%2005%20Registre%20de%20suivi%20des%20NC%20PNC%20et%20r&#233;clamations\13%20+%2014%20+%2027" TargetMode="External"/><Relationship Id="rId33" Type="http://schemas.openxmlformats.org/officeDocument/2006/relationships/hyperlink" Target="file:///D:\SMQ\Strat&#233;gie%20SOPAT\Enregistrements%20MQ\MI\Formulaires\FOR%20MI%2005%20Registre%20de%20suivi%20des%20NC%20PNC%20et%20r&#233;clamations\22" TargetMode="External"/><Relationship Id="rId38" Type="http://schemas.openxmlformats.org/officeDocument/2006/relationships/hyperlink" Target="file:///D:\SMQ\Strat&#233;gie%20SOPAT\Enregistrements%20MQ\MI\Formulaires\FOR%20MI%2005%20Registre%20de%20suivi%20des%20NC%20PNC%20et%20r&#233;clamations\29" TargetMode="External"/><Relationship Id="rId46" Type="http://schemas.openxmlformats.org/officeDocument/2006/relationships/hyperlink" Target="file:///D:\SMQ\Strat&#233;gie%20SOPAT\Enregistrements%20MQ\MI\Formulaires\FOR%20MI%2005%20Registre%20de%20suivi%20des%20NC%20PNC%20et%20r&#233;clamations\37" TargetMode="External"/><Relationship Id="rId2" Type="http://schemas.openxmlformats.org/officeDocument/2006/relationships/hyperlink" Target="file:///D:\SMQ\Strat&#233;gie%20SOPAT\Enregistrements%20MQ\MI\Formulaires\FOR%20MI%2005%20Registre%20de%20suivi%20des%20NC%20PNC%20et%20r&#233;clamations\2.%20GAT%20ASSURANCES%2015-01-2025" TargetMode="External"/><Relationship Id="rId16" Type="http://schemas.openxmlformats.org/officeDocument/2006/relationships/hyperlink" Target="file:///D:\SMQ\Strat&#233;gie%20SOPAT\Enregistrements%20MQ\MI\Formulaires\FOR%20MI%2005%20Registre%20de%20suivi%20des%20NC%20PNC%20et%20r&#233;clamations\8" TargetMode="External"/><Relationship Id="rId20" Type="http://schemas.openxmlformats.org/officeDocument/2006/relationships/hyperlink" Target="file:///D:\SMQ\Strat&#233;gie%20SOPAT\Enregistrements%20MQ\MI\Formulaires\FOR%20MI%2005%20Registre%20de%20suivi%20des%20NC%20PNC%20et%20r&#233;clamations\12" TargetMode="External"/><Relationship Id="rId29" Type="http://schemas.openxmlformats.org/officeDocument/2006/relationships/hyperlink" Target="file:///D:\SMQ\Strat&#233;gie%20SOPAT\Enregistrements%20MQ\MI\Formulaires\FOR%20MI%2005%20Registre%20de%20suivi%20des%20NC%20PNC%20et%20r&#233;clamations\18" TargetMode="External"/><Relationship Id="rId41" Type="http://schemas.openxmlformats.org/officeDocument/2006/relationships/hyperlink" Target="file:///D:\SMQ\Strat&#233;gie%20SOPAT\Enregistrements%20MQ\MI\Formulaires\FOR%20MI%2005%20Registre%20de%20suivi%20des%20NC%20PNC%20et%20r&#233;clamations\32" TargetMode="External"/><Relationship Id="rId54" Type="http://schemas.openxmlformats.org/officeDocument/2006/relationships/hyperlink" Target="file:///D:\SMQ\Strat&#233;gie%20SOPAT\Enregistrements%20MQ\MI\Formulaires\FOR%20MI%2005%20Registre%20de%20suivi%20des%20NC%20PNC%20et%20r&#233;clamations\45" TargetMode="External"/><Relationship Id="rId1" Type="http://schemas.openxmlformats.org/officeDocument/2006/relationships/hyperlink" Target="mailto:anis.aldebibi@gmail.com" TargetMode="External"/><Relationship Id="rId6" Type="http://schemas.openxmlformats.org/officeDocument/2006/relationships/hyperlink" Target="file:///D:\SMQ\Strat&#233;gie%20SOPAT\Enregistrements%20MQ\MI\Formulaires\FOR%20MI%2005%20Registre%20de%20suivi%20des%20NC%20PNC%20et%20r&#233;clamations\3.%20Remplacement%20des%20plantes%2004-02-2025" TargetMode="External"/><Relationship Id="rId11" Type="http://schemas.openxmlformats.org/officeDocument/2006/relationships/hyperlink" Target="file:///D:\SMQ\Strat&#233;gie%20SOPAT\Enregistrements%20MQ\MI\Formulaires\FOR%20MI%2005%20Registre%20de%20suivi%20des%20NC%20PNC%20et%20r&#233;clamations\6.%20RADISSON%20Jeaun%20Jaures%2008-04-2025" TargetMode="External"/><Relationship Id="rId24" Type="http://schemas.openxmlformats.org/officeDocument/2006/relationships/hyperlink" Target="file:///D:\SMQ\Strat&#233;gie%20SOPAT\Enregistrements%20MQ\MI\Formulaires\FOR%20MI%2005%20Registre%20de%20suivi%20des%20NC%20PNC%20et%20r&#233;clamations\47.%20Si&#232;ge%20SUZUKI%2019-07-2025" TargetMode="External"/><Relationship Id="rId32" Type="http://schemas.openxmlformats.org/officeDocument/2006/relationships/hyperlink" Target="file:///D:\SMQ\Strat&#233;gie%20SOPAT\Enregistrements%20MQ\MI\Formulaires\FOR%20MI%2005%20Registre%20de%20suivi%20des%20NC%20PNC%20et%20r&#233;clamations\21" TargetMode="External"/><Relationship Id="rId37" Type="http://schemas.openxmlformats.org/officeDocument/2006/relationships/hyperlink" Target="file:///D:\SMQ\Strat&#233;gie%20SOPAT\Enregistrements%20MQ\MI\Formulaires\FOR%20MI%2005%20Registre%20de%20suivi%20des%20NC%20PNC%20et%20r&#233;clamations\23%20+%2026" TargetMode="External"/><Relationship Id="rId40" Type="http://schemas.openxmlformats.org/officeDocument/2006/relationships/hyperlink" Target="file:///D:\SMQ\Strat&#233;gie%20SOPAT\Enregistrements%20MQ\MI\Formulaires\FOR%20MI%2005%20Registre%20de%20suivi%20des%20NC%20PNC%20et%20r&#233;clamations\31" TargetMode="External"/><Relationship Id="rId45" Type="http://schemas.openxmlformats.org/officeDocument/2006/relationships/hyperlink" Target="file:///D:\SMQ\Strat&#233;gie%20SOPAT\Enregistrements%20MQ\MI\Formulaires\FOR%20MI%2005%20Registre%20de%20suivi%20des%20NC%20PNC%20et%20r&#233;clamations\36" TargetMode="External"/><Relationship Id="rId53" Type="http://schemas.openxmlformats.org/officeDocument/2006/relationships/hyperlink" Target="file:///D:\SMQ\Strat&#233;gie%20SOPAT\Enregistrements%20MQ\MI\Formulaires\FOR%20MI%2005%20Registre%20de%20suivi%20des%20NC%20PNC%20et%20r&#233;clamations\44" TargetMode="External"/><Relationship Id="rId5" Type="http://schemas.openxmlformats.org/officeDocument/2006/relationships/hyperlink" Target="mailto:benhassineaymen@yahoo.com" TargetMode="External"/><Relationship Id="rId15" Type="http://schemas.openxmlformats.org/officeDocument/2006/relationships/hyperlink" Target="mailto:Mg.Carpro@utic.com.tn" TargetMode="External"/><Relationship Id="rId23" Type="http://schemas.openxmlformats.org/officeDocument/2006/relationships/hyperlink" Target="file:///D:\SMQ\Strat&#233;gie%20SOPAT\Enregistrements%20MQ\MI\Formulaires\FOR%20MI%2005%20Registre%20de%20suivi%20des%20NC%20PNC%20et%20r&#233;clamations\46.%20Centre%20de%20formation%20BIAT%2010-07-2025" TargetMode="External"/><Relationship Id="rId28" Type="http://schemas.openxmlformats.org/officeDocument/2006/relationships/hyperlink" Target="file:///D:\SMQ\Strat&#233;gie%20SOPAT\Enregistrements%20MQ\MI\Formulaires\FOR%20MI%2005%20Registre%20de%20suivi%20des%20NC%20PNC%20et%20r&#233;clamations\17" TargetMode="External"/><Relationship Id="rId36" Type="http://schemas.openxmlformats.org/officeDocument/2006/relationships/hyperlink" Target="file:///D:\SMQ\Strat&#233;gie%20SOPAT\Enregistrements%20MQ\MI\Formulaires\FOR%20MI%2005%20Registre%20de%20suivi%20des%20NC%20PNC%20et%20r&#233;clamations\25" TargetMode="External"/><Relationship Id="rId49" Type="http://schemas.openxmlformats.org/officeDocument/2006/relationships/hyperlink" Target="file:///D:\SMQ\Strat&#233;gie%20SOPAT\Enregistrements%20MQ\MI\Formulaires\FOR%20MI%2005%20Registre%20de%20suivi%20des%20NC%20PNC%20et%20r&#233;clamations\40" TargetMode="External"/><Relationship Id="rId10" Type="http://schemas.openxmlformats.org/officeDocument/2006/relationships/hyperlink" Target="mailto:anis.aldebibi@gmail.com" TargetMode="External"/><Relationship Id="rId19" Type="http://schemas.openxmlformats.org/officeDocument/2006/relationships/hyperlink" Target="file:///D:\SMQ\Strat&#233;gie%20SOPAT\Enregistrements%20MQ\MI\Formulaires\FOR%20MI%2005%20Registre%20de%20suivi%20des%20NC%20PNC%20et%20r&#233;clamations\11" TargetMode="External"/><Relationship Id="rId31" Type="http://schemas.openxmlformats.org/officeDocument/2006/relationships/hyperlink" Target="file:///D:\SMQ\Strat&#233;gie%20SOPAT\Enregistrements%20MQ\MI\Formulaires\FOR%20MI%2005%20Registre%20de%20suivi%20des%20NC%20PNC%20et%20r&#233;clamations\20" TargetMode="External"/><Relationship Id="rId44" Type="http://schemas.openxmlformats.org/officeDocument/2006/relationships/hyperlink" Target="file:///D:\SMQ\Strat&#233;gie%20SOPAT\Enregistrements%20MQ\MI\Formulaires\FOR%20MI%2005%20Registre%20de%20suivi%20des%20NC%20PNC%20et%20r&#233;clamations\35" TargetMode="External"/><Relationship Id="rId52" Type="http://schemas.openxmlformats.org/officeDocument/2006/relationships/hyperlink" Target="file:///D:\SMQ\Strat&#233;gie%20SOPAT\Enregistrements%20MQ\MI\Formulaires\FOR%20MI%2005%20Registre%20de%20suivi%20des%20NC%20PNC%20et%20r&#233;clamations\43" TargetMode="External"/><Relationship Id="rId4" Type="http://schemas.openxmlformats.org/officeDocument/2006/relationships/hyperlink" Target="file:///D:\SMQ\Strat&#233;gie%20SOPAT\Enregistrements%20MQ\MI\Formulaires\FOR%20MI%2005%20Registre%20de%20suivi%20des%20NC%20PNC%20et%20r&#233;clamations\1.%20BMW%2004-01-2025" TargetMode="External"/><Relationship Id="rId9" Type="http://schemas.openxmlformats.org/officeDocument/2006/relationships/hyperlink" Target="mailto:benhassineaymen@yahoo.com" TargetMode="External"/><Relationship Id="rId14" Type="http://schemas.openxmlformats.org/officeDocument/2006/relationships/hyperlink" Target="file:///D:\SMQ\Strat&#233;gie%20SOPAT\Enregistrements%20MQ\MI\Formulaires\FOR%20MI%2005%20Registre%20de%20suivi%20des%20NC%20PNC%20et%20r&#233;clamations\5.%20Si&#232;ge%20BMW%2025-03-2025" TargetMode="External"/><Relationship Id="rId22" Type="http://schemas.openxmlformats.org/officeDocument/2006/relationships/hyperlink" Target="file:///D:\SMQ\Strat&#233;gie%20SOPAT\Enregistrements%20MQ\MI\Formulaires\FOR%20MI%2005%20Registre%20de%20suivi%20des%20NC%20PNC%20et%20r&#233;clamations\13%20+%2014%20+%2027" TargetMode="External"/><Relationship Id="rId27" Type="http://schemas.openxmlformats.org/officeDocument/2006/relationships/hyperlink" Target="file:///D:\SMQ\Strat&#233;gie%20SOPAT\Enregistrements%20MQ\MI\Formulaires\FOR%20MI%2005%20Registre%20de%20suivi%20des%20NC%20PNC%20et%20r&#233;clamations\16" TargetMode="External"/><Relationship Id="rId30" Type="http://schemas.openxmlformats.org/officeDocument/2006/relationships/hyperlink" Target="file:///D:\SMQ\Strat&#233;gie%20SOPAT\Enregistrements%20MQ\MI\Formulaires\FOR%20MI%2005%20Registre%20de%20suivi%20des%20NC%20PNC%20et%20r&#233;clamations\19" TargetMode="External"/><Relationship Id="rId35" Type="http://schemas.openxmlformats.org/officeDocument/2006/relationships/hyperlink" Target="file:///D:\SMQ\Strat&#233;gie%20SOPAT\Enregistrements%20MQ\MI\Formulaires\FOR%20MI%2005%20Registre%20de%20suivi%20des%20NC%20PNC%20et%20r&#233;clamations\24" TargetMode="External"/><Relationship Id="rId43" Type="http://schemas.openxmlformats.org/officeDocument/2006/relationships/hyperlink" Target="file:///D:\SMQ\Strat&#233;gie%20SOPAT\Enregistrements%20MQ\MI\Formulaires\FOR%20MI%2005%20Registre%20de%20suivi%20des%20NC%20PNC%20et%20r&#233;clamations\34" TargetMode="External"/><Relationship Id="rId48" Type="http://schemas.openxmlformats.org/officeDocument/2006/relationships/hyperlink" Target="file:///D:\SMQ\Strat&#233;gie%20SOPAT\Enregistrements%20MQ\MI\Formulaires\FOR%20MI%2005%20Registre%20de%20suivi%20des%20NC%20PNC%20et%20r&#233;clamations\39" TargetMode="External"/><Relationship Id="rId56" Type="http://schemas.openxmlformats.org/officeDocument/2006/relationships/drawing" Target="../drawings/drawing1.xml"/><Relationship Id="rId8" Type="http://schemas.openxmlformats.org/officeDocument/2006/relationships/hyperlink" Target="file:///D:\SMQ\Strat&#233;gie%20SOPAT\Enregistrements%20MQ\MI\Formulaires\FOR%20MI%2005%20Registre%20de%20suivi%20des%20NC%20PNC%20et%20r&#233;clamations\4.%20Villa%20Walid%20Sfia%2025-03-2025" TargetMode="External"/><Relationship Id="rId51" Type="http://schemas.openxmlformats.org/officeDocument/2006/relationships/hyperlink" Target="file:///D:\SMQ\Strat&#233;gie%20SOPAT\Enregistrements%20MQ\MI\Formulaires\FOR%20MI%2005%20Registre%20de%20suivi%20des%20NC%20PNC%20et%20r&#233;clamations\42" TargetMode="External"/><Relationship Id="rId3" Type="http://schemas.openxmlformats.org/officeDocument/2006/relationships/hyperlink" Target="mailto:benhassineaymen@yaho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86"/>
  <sheetViews>
    <sheetView tabSelected="1" topLeftCell="A3" zoomScaleNormal="100" workbookViewId="0">
      <selection activeCell="J15" sqref="J15:L15"/>
    </sheetView>
  </sheetViews>
  <sheetFormatPr baseColWidth="10" defaultRowHeight="15" outlineLevelRow="1" x14ac:dyDescent="0.25"/>
  <cols>
    <col min="1" max="1" width="8.140625" customWidth="1"/>
    <col min="2" max="2" width="14.140625" customWidth="1"/>
    <col min="3" max="4" width="16.7109375" customWidth="1"/>
    <col min="5" max="5" width="29.85546875" customWidth="1"/>
    <col min="6" max="8" width="17.140625" customWidth="1"/>
    <col min="9" max="9" width="12.42578125" customWidth="1"/>
    <col min="10" max="15" width="17.85546875" customWidth="1"/>
    <col min="16" max="20" width="15.5703125" customWidth="1"/>
    <col min="21" max="21" width="15.5703125" style="3" customWidth="1"/>
    <col min="22" max="25" width="15.5703125" customWidth="1"/>
    <col min="26" max="26" width="38.140625" customWidth="1"/>
    <col min="27" max="27" width="14.42578125" customWidth="1"/>
    <col min="28" max="28" width="37" customWidth="1"/>
    <col min="29" max="29" width="17.85546875" customWidth="1"/>
    <col min="30" max="30" width="15.7109375" customWidth="1"/>
    <col min="31" max="31" width="13.28515625" customWidth="1"/>
    <col min="32" max="32" width="16.85546875" customWidth="1"/>
    <col min="33" max="33" width="18.85546875" customWidth="1"/>
    <col min="34" max="34" width="16.85546875" customWidth="1"/>
    <col min="35" max="35" width="12.140625" customWidth="1"/>
    <col min="36" max="36" width="16.85546875" customWidth="1"/>
    <col min="37" max="37" width="16.7109375" customWidth="1"/>
    <col min="38" max="38" width="14.140625" customWidth="1"/>
    <col min="39" max="39" width="16.85546875" customWidth="1"/>
    <col min="40" max="40" width="19.140625" customWidth="1"/>
  </cols>
  <sheetData>
    <row r="1" spans="1:44" ht="39" customHeight="1" x14ac:dyDescent="0.25">
      <c r="A1" s="82"/>
      <c r="B1" s="83"/>
      <c r="C1" s="92" t="s">
        <v>37</v>
      </c>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5" t="s">
        <v>70</v>
      </c>
    </row>
    <row r="2" spans="1:44" ht="44.25" customHeight="1" x14ac:dyDescent="0.25">
      <c r="A2" s="84"/>
      <c r="B2" s="85"/>
      <c r="C2" s="92"/>
      <c r="D2" s="92"/>
      <c r="E2" s="92"/>
      <c r="F2" s="92"/>
      <c r="G2" s="92"/>
      <c r="H2" s="92"/>
      <c r="I2" s="92"/>
      <c r="J2" s="92"/>
      <c r="K2" s="92"/>
      <c r="L2" s="92"/>
      <c r="M2" s="92"/>
      <c r="N2" s="92"/>
      <c r="O2" s="92"/>
      <c r="P2" s="92"/>
      <c r="Q2" s="92"/>
      <c r="R2" s="92"/>
      <c r="S2" s="92"/>
      <c r="T2" s="92"/>
      <c r="U2" s="92"/>
      <c r="V2" s="92"/>
      <c r="W2" s="92"/>
      <c r="X2" s="92"/>
      <c r="Y2" s="92"/>
      <c r="Z2" s="92"/>
      <c r="AA2" s="92"/>
      <c r="AB2" s="92"/>
      <c r="AC2" s="92"/>
      <c r="AD2" s="92"/>
      <c r="AE2" s="92"/>
      <c r="AF2" s="92"/>
      <c r="AG2" s="92"/>
      <c r="AH2" s="92"/>
      <c r="AI2" s="92"/>
      <c r="AJ2" s="92"/>
      <c r="AK2" s="92"/>
      <c r="AL2" s="92"/>
      <c r="AM2" s="92"/>
      <c r="AN2" s="5">
        <v>4</v>
      </c>
    </row>
    <row r="3" spans="1:44" ht="6" customHeight="1" x14ac:dyDescent="0.25">
      <c r="A3" s="1"/>
      <c r="G3" s="2"/>
      <c r="L3" s="2"/>
      <c r="M3" s="2"/>
      <c r="N3" s="2"/>
      <c r="O3" s="2"/>
      <c r="P3" s="2"/>
      <c r="Q3" s="2"/>
      <c r="R3" s="2"/>
      <c r="S3" s="2"/>
      <c r="T3" s="2"/>
      <c r="U3" s="4"/>
      <c r="V3" s="2"/>
      <c r="W3" s="2"/>
      <c r="AA3" s="2"/>
      <c r="AB3" s="2"/>
      <c r="AC3" s="2"/>
      <c r="AD3" s="2"/>
      <c r="AE3" s="2"/>
      <c r="AF3" s="2"/>
      <c r="AG3" s="2"/>
      <c r="AH3" s="2"/>
      <c r="AI3" s="2"/>
      <c r="AJ3" s="2"/>
      <c r="AK3" s="2"/>
      <c r="AL3" s="2"/>
      <c r="AM3" s="2"/>
      <c r="AN3" s="2"/>
    </row>
    <row r="4" spans="1:44" s="9" customFormat="1" ht="23.25" hidden="1" customHeight="1" outlineLevel="1" x14ac:dyDescent="0.2">
      <c r="A4" s="90" t="s">
        <v>34</v>
      </c>
      <c r="B4" s="91"/>
      <c r="C4" s="96">
        <f ca="1">TODAY()</f>
        <v>46186</v>
      </c>
      <c r="D4" s="97"/>
      <c r="E4" s="6"/>
      <c r="F4" s="7"/>
      <c r="G4" s="8"/>
      <c r="I4" s="8"/>
      <c r="L4" s="8"/>
      <c r="M4" s="8"/>
      <c r="N4" s="8"/>
      <c r="O4" s="8"/>
      <c r="P4" s="8"/>
      <c r="Q4" s="8"/>
      <c r="R4" s="8"/>
      <c r="S4" s="8"/>
      <c r="T4" s="8"/>
      <c r="U4" s="10"/>
      <c r="V4" s="10"/>
      <c r="W4" s="10"/>
      <c r="AA4" s="10"/>
      <c r="AB4" s="10"/>
      <c r="AC4" s="10"/>
      <c r="AD4" s="10"/>
      <c r="AE4" s="10"/>
      <c r="AF4" s="10"/>
      <c r="AG4" s="10"/>
      <c r="AJ4" s="10"/>
      <c r="AK4" s="10"/>
      <c r="AL4" s="10"/>
      <c r="AM4" s="10"/>
      <c r="AN4" s="10"/>
    </row>
    <row r="5" spans="1:44" s="9" customFormat="1" ht="5.25" hidden="1" customHeight="1" outlineLevel="1" x14ac:dyDescent="0.2">
      <c r="A5" s="1"/>
      <c r="F5" s="7"/>
      <c r="G5" s="7"/>
      <c r="M5" s="8"/>
      <c r="N5" s="8"/>
      <c r="O5" s="8"/>
      <c r="P5" s="8"/>
      <c r="Q5" s="8"/>
      <c r="R5" s="8"/>
      <c r="S5" s="8"/>
      <c r="T5" s="8"/>
      <c r="U5" s="11"/>
      <c r="AB5" s="11"/>
      <c r="AC5" s="11"/>
      <c r="AD5" s="11"/>
    </row>
    <row r="6" spans="1:44" s="9" customFormat="1" ht="27" hidden="1" customHeight="1" outlineLevel="1" x14ac:dyDescent="0.2">
      <c r="A6" s="90" t="s">
        <v>12</v>
      </c>
      <c r="B6" s="91"/>
      <c r="C6" s="12" t="s">
        <v>7</v>
      </c>
      <c r="D6" s="13" t="s">
        <v>11</v>
      </c>
      <c r="E6" s="14"/>
      <c r="F6" s="15" t="s">
        <v>26</v>
      </c>
      <c r="G6" s="16" t="s">
        <v>7</v>
      </c>
      <c r="H6" s="16" t="s">
        <v>11</v>
      </c>
      <c r="J6" s="17" t="s">
        <v>27</v>
      </c>
      <c r="K6" s="17" t="s">
        <v>7</v>
      </c>
      <c r="L6" s="17" t="s">
        <v>11</v>
      </c>
      <c r="M6" s="17" t="s">
        <v>27</v>
      </c>
      <c r="N6" s="17" t="s">
        <v>7</v>
      </c>
      <c r="O6" s="17" t="s">
        <v>11</v>
      </c>
      <c r="Q6" s="18" t="s">
        <v>38</v>
      </c>
      <c r="R6" s="19" t="s">
        <v>7</v>
      </c>
      <c r="S6" s="19" t="s">
        <v>11</v>
      </c>
      <c r="T6" s="18" t="s">
        <v>38</v>
      </c>
      <c r="U6" s="19" t="s">
        <v>7</v>
      </c>
      <c r="V6" s="19" t="s">
        <v>11</v>
      </c>
      <c r="W6" s="18" t="s">
        <v>38</v>
      </c>
      <c r="X6" s="19" t="s">
        <v>7</v>
      </c>
      <c r="Y6" s="19" t="s">
        <v>11</v>
      </c>
    </row>
    <row r="7" spans="1:44" s="9" customFormat="1" ht="27" hidden="1" customHeight="1" outlineLevel="1" x14ac:dyDescent="0.2">
      <c r="A7" s="88" t="s">
        <v>14</v>
      </c>
      <c r="B7" s="89"/>
      <c r="C7" s="20">
        <f>COUNTIF($B$14:$B$76,"NC système")</f>
        <v>38</v>
      </c>
      <c r="D7" s="21">
        <f>C7/$C$10</f>
        <v>0.80851063829787229</v>
      </c>
      <c r="E7" s="14"/>
      <c r="F7" s="22" t="s">
        <v>10</v>
      </c>
      <c r="G7" s="20">
        <f>COUNTIF($C$14:$C$76,"Interne")</f>
        <v>8</v>
      </c>
      <c r="H7" s="23">
        <f>G7/$C$10</f>
        <v>0.1702127659574468</v>
      </c>
      <c r="J7" s="24" t="s">
        <v>84</v>
      </c>
      <c r="K7" s="25">
        <f>+COUNTIF($F$14:$F$76,"MI1")</f>
        <v>13</v>
      </c>
      <c r="L7" s="26">
        <f>K7/$C$10</f>
        <v>0.27659574468085107</v>
      </c>
      <c r="M7" s="24" t="s">
        <v>31</v>
      </c>
      <c r="N7" s="25">
        <f>+COUNTIF($F$14:$F$76,"CO")</f>
        <v>2</v>
      </c>
      <c r="O7" s="26">
        <f>N7/$C$10</f>
        <v>4.2553191489361701E-2</v>
      </c>
      <c r="Q7" s="24" t="s">
        <v>15</v>
      </c>
      <c r="R7" s="25">
        <f>+COUNTIF($H$14:$H$76,"Janvier")</f>
        <v>2</v>
      </c>
      <c r="S7" s="26">
        <f>R7/$C$10</f>
        <v>4.2553191489361701E-2</v>
      </c>
      <c r="T7" s="24" t="s">
        <v>19</v>
      </c>
      <c r="U7" s="25">
        <f>+COUNTIF($H$14:$H$76,"Mai")</f>
        <v>38</v>
      </c>
      <c r="V7" s="26">
        <f>U7/$C$10</f>
        <v>0.80851063829787229</v>
      </c>
      <c r="W7" s="28" t="s">
        <v>22</v>
      </c>
      <c r="X7" s="25">
        <f>+COUNTIF($H$14:$H$76,"Septembre")</f>
        <v>0</v>
      </c>
      <c r="Y7" s="26">
        <f>X7/$C$10</f>
        <v>0</v>
      </c>
      <c r="Z7" s="27"/>
    </row>
    <row r="8" spans="1:44" s="9" customFormat="1" ht="27" hidden="1" customHeight="1" outlineLevel="1" x14ac:dyDescent="0.2">
      <c r="A8" s="88" t="s">
        <v>28</v>
      </c>
      <c r="B8" s="89"/>
      <c r="C8" s="20">
        <f>COUNTIF($B$14:$B$76,"NC Technique")</f>
        <v>9</v>
      </c>
      <c r="D8" s="21">
        <f>C8/$C$10</f>
        <v>0.19148936170212766</v>
      </c>
      <c r="E8" s="14"/>
      <c r="F8" s="22" t="s">
        <v>9</v>
      </c>
      <c r="G8" s="20">
        <f>COUNTIF($C$14:$C$76,"Audit")</f>
        <v>38</v>
      </c>
      <c r="H8" s="23">
        <f>G8/$C$10</f>
        <v>0.80851063829787229</v>
      </c>
      <c r="J8" s="24" t="s">
        <v>152</v>
      </c>
      <c r="K8" s="25">
        <f>+COUNTIF($F$14:$F$76,"MI2")</f>
        <v>0</v>
      </c>
      <c r="L8" s="26">
        <f t="shared" ref="L8:L10" si="0">K8/$C$10</f>
        <v>0</v>
      </c>
      <c r="M8" s="24" t="s">
        <v>32</v>
      </c>
      <c r="N8" s="25">
        <f>+COUNTIF($F$14:$F$76,"AC")</f>
        <v>5</v>
      </c>
      <c r="O8" s="26">
        <f>N8/$C$10</f>
        <v>0.10638297872340426</v>
      </c>
      <c r="Q8" s="24" t="s">
        <v>16</v>
      </c>
      <c r="R8" s="25">
        <f>+COUNTIF($H$14:$H$76,"Février")</f>
        <v>0</v>
      </c>
      <c r="S8" s="26">
        <f>R8/$C$10</f>
        <v>0</v>
      </c>
      <c r="T8" s="24" t="s">
        <v>20</v>
      </c>
      <c r="U8" s="25">
        <f>+COUNTIF($H$14:$H$76,"Juin")</f>
        <v>0</v>
      </c>
      <c r="V8" s="26">
        <f>U8/$C$10</f>
        <v>0</v>
      </c>
      <c r="W8" s="28" t="s">
        <v>23</v>
      </c>
      <c r="X8" s="25">
        <f>+COUNTIF($H$14:$H$76,"Octobre")</f>
        <v>0</v>
      </c>
      <c r="Y8" s="26">
        <f>X8/$C$10</f>
        <v>0</v>
      </c>
      <c r="Z8" s="27"/>
    </row>
    <row r="9" spans="1:44" s="9" customFormat="1" ht="27" hidden="1" customHeight="1" outlineLevel="1" x14ac:dyDescent="0.2">
      <c r="A9" s="7"/>
      <c r="B9" s="7"/>
      <c r="C9" s="7"/>
      <c r="D9" s="7"/>
      <c r="E9" s="7"/>
      <c r="F9" s="22" t="s">
        <v>35</v>
      </c>
      <c r="G9" s="20">
        <f>COUNTIF($C$14:$C$76,"Réclamation client")</f>
        <v>1</v>
      </c>
      <c r="H9" s="23">
        <f>G9/$C$10</f>
        <v>2.1276595744680851E-2</v>
      </c>
      <c r="J9" s="24" t="s">
        <v>29</v>
      </c>
      <c r="K9" s="25">
        <f>+COUNTIF($F$14:$F$76,"RH")</f>
        <v>6</v>
      </c>
      <c r="L9" s="26">
        <f t="shared" si="0"/>
        <v>0.1276595744680851</v>
      </c>
      <c r="M9" s="24" t="s">
        <v>47</v>
      </c>
      <c r="N9" s="25">
        <f>+COUNTIF($F$14:$F$76,"RE1")</f>
        <v>4</v>
      </c>
      <c r="O9" s="26">
        <f>N9/$C$10</f>
        <v>8.5106382978723402E-2</v>
      </c>
      <c r="Q9" s="24" t="s">
        <v>17</v>
      </c>
      <c r="R9" s="25">
        <f>+COUNTIF($H$14:$H$76,"Mars")</f>
        <v>2</v>
      </c>
      <c r="S9" s="26">
        <f>R9/$C$10</f>
        <v>4.2553191489361701E-2</v>
      </c>
      <c r="T9" s="28" t="s">
        <v>21</v>
      </c>
      <c r="U9" s="25">
        <f>+COUNTIF($H$14:$H$76,"Juillet")</f>
        <v>2</v>
      </c>
      <c r="V9" s="26">
        <f>U9/$C$10</f>
        <v>4.2553191489361701E-2</v>
      </c>
      <c r="W9" s="28" t="s">
        <v>24</v>
      </c>
      <c r="X9" s="25">
        <f>+COUNTIF($H$14:$H$76,"Novembre")</f>
        <v>0</v>
      </c>
      <c r="Y9" s="26">
        <f>X9/$C$10</f>
        <v>0</v>
      </c>
      <c r="Z9" s="27"/>
    </row>
    <row r="10" spans="1:44" s="9" customFormat="1" ht="27" hidden="1" customHeight="1" outlineLevel="1" x14ac:dyDescent="0.2">
      <c r="A10" s="90" t="s">
        <v>39</v>
      </c>
      <c r="B10" s="91"/>
      <c r="C10" s="88">
        <f>COUNTA(A14:A76)</f>
        <v>47</v>
      </c>
      <c r="D10" s="89"/>
      <c r="E10" s="29"/>
      <c r="F10" s="22" t="s">
        <v>8</v>
      </c>
      <c r="G10" s="20">
        <f>COUNTIF($C$14:$C$76,"Réclamation PI")</f>
        <v>0</v>
      </c>
      <c r="H10" s="23">
        <f>G10/$C$10</f>
        <v>0</v>
      </c>
      <c r="J10" s="24" t="s">
        <v>30</v>
      </c>
      <c r="K10" s="25">
        <f>+COUNTIF($F$14:$F$76,"ET")</f>
        <v>4</v>
      </c>
      <c r="L10" s="26">
        <f t="shared" si="0"/>
        <v>8.5106382978723402E-2</v>
      </c>
      <c r="M10" s="24" t="s">
        <v>48</v>
      </c>
      <c r="N10" s="25">
        <f>+COUNTIF($F$14:$F$76,"RE2")</f>
        <v>13</v>
      </c>
      <c r="O10" s="26">
        <f>N10/$C$10</f>
        <v>0.27659574468085107</v>
      </c>
      <c r="Q10" s="24" t="s">
        <v>18</v>
      </c>
      <c r="R10" s="25">
        <f>+COUNTIF($H$14:$H$76,"Avril")</f>
        <v>2</v>
      </c>
      <c r="S10" s="26">
        <f t="shared" ref="S10" si="1">R10/$C$10</f>
        <v>4.2553191489361701E-2</v>
      </c>
      <c r="T10" s="28" t="s">
        <v>36</v>
      </c>
      <c r="U10" s="25">
        <f>+COUNTIF($H$14:$H$76,"Août")</f>
        <v>0</v>
      </c>
      <c r="V10" s="26">
        <f>U10/$C$10</f>
        <v>0</v>
      </c>
      <c r="W10" s="28" t="s">
        <v>25</v>
      </c>
      <c r="X10" s="25">
        <f>+COUNTIF($H$14:$H$76,"Décembre")</f>
        <v>0</v>
      </c>
      <c r="Y10" s="26">
        <f>X10/$C$10</f>
        <v>0</v>
      </c>
      <c r="Z10" s="27"/>
    </row>
    <row r="11" spans="1:44" s="9" customFormat="1" ht="5.25" hidden="1" customHeight="1" outlineLevel="1" x14ac:dyDescent="0.2">
      <c r="A11" s="1"/>
      <c r="F11" s="7"/>
      <c r="G11" s="7"/>
      <c r="M11" s="8"/>
      <c r="N11" s="8"/>
      <c r="O11" s="8"/>
      <c r="P11" s="8"/>
      <c r="Q11" s="8"/>
      <c r="R11" s="8"/>
      <c r="S11" s="8"/>
      <c r="T11" s="8"/>
      <c r="U11" s="11"/>
      <c r="AB11" s="11"/>
      <c r="AC11" s="11"/>
      <c r="AD11" s="11"/>
    </row>
    <row r="12" spans="1:44" s="9" customFormat="1" ht="51.75" customHeight="1" collapsed="1" x14ac:dyDescent="0.2">
      <c r="A12" s="86" t="s">
        <v>4</v>
      </c>
      <c r="B12" s="86" t="s">
        <v>13</v>
      </c>
      <c r="C12" s="86" t="s">
        <v>33</v>
      </c>
      <c r="D12" s="86" t="s">
        <v>40</v>
      </c>
      <c r="E12" s="86" t="s">
        <v>64</v>
      </c>
      <c r="F12" s="86" t="s">
        <v>43</v>
      </c>
      <c r="G12" s="86" t="s">
        <v>65</v>
      </c>
      <c r="H12" s="86" t="s">
        <v>50</v>
      </c>
      <c r="I12" s="86" t="s">
        <v>6</v>
      </c>
      <c r="J12" s="98" t="s">
        <v>5</v>
      </c>
      <c r="K12" s="99"/>
      <c r="L12" s="100"/>
      <c r="M12" s="98" t="s">
        <v>51</v>
      </c>
      <c r="N12" s="99"/>
      <c r="O12" s="100"/>
      <c r="P12" s="93" t="s">
        <v>52</v>
      </c>
      <c r="Q12" s="94"/>
      <c r="R12" s="94"/>
      <c r="S12" s="94"/>
      <c r="T12" s="95"/>
      <c r="U12" s="93" t="s">
        <v>41</v>
      </c>
      <c r="V12" s="95"/>
      <c r="W12" s="86" t="s">
        <v>58</v>
      </c>
      <c r="X12" s="98" t="s">
        <v>59</v>
      </c>
      <c r="Y12" s="99"/>
      <c r="Z12" s="100"/>
      <c r="AA12" s="93" t="s">
        <v>57</v>
      </c>
      <c r="AB12" s="94"/>
      <c r="AC12" s="95"/>
      <c r="AD12" s="93" t="s">
        <v>42</v>
      </c>
      <c r="AE12" s="95"/>
      <c r="AF12" s="86" t="s">
        <v>58</v>
      </c>
      <c r="AG12" s="93" t="s">
        <v>1</v>
      </c>
      <c r="AH12" s="95"/>
      <c r="AI12" s="93" t="s">
        <v>348</v>
      </c>
      <c r="AJ12" s="95"/>
      <c r="AK12" s="98" t="s">
        <v>60</v>
      </c>
      <c r="AL12" s="100"/>
      <c r="AM12" s="86" t="s">
        <v>63</v>
      </c>
      <c r="AN12" s="86" t="s">
        <v>0</v>
      </c>
      <c r="AR12" s="30"/>
    </row>
    <row r="13" spans="1:44" s="9" customFormat="1" ht="39.75" customHeight="1" x14ac:dyDescent="0.2">
      <c r="A13" s="87"/>
      <c r="B13" s="87"/>
      <c r="C13" s="87"/>
      <c r="D13" s="87"/>
      <c r="E13" s="87"/>
      <c r="F13" s="87"/>
      <c r="G13" s="87"/>
      <c r="H13" s="87"/>
      <c r="I13" s="87"/>
      <c r="J13" s="101"/>
      <c r="K13" s="102"/>
      <c r="L13" s="103"/>
      <c r="M13" s="101"/>
      <c r="N13" s="102"/>
      <c r="O13" s="103"/>
      <c r="P13" s="31" t="s">
        <v>53</v>
      </c>
      <c r="Q13" s="31" t="s">
        <v>54</v>
      </c>
      <c r="R13" s="93" t="s">
        <v>55</v>
      </c>
      <c r="S13" s="95"/>
      <c r="T13" s="31" t="s">
        <v>56</v>
      </c>
      <c r="U13" s="31" t="s">
        <v>45</v>
      </c>
      <c r="V13" s="32" t="s">
        <v>44</v>
      </c>
      <c r="W13" s="87"/>
      <c r="X13" s="101"/>
      <c r="Y13" s="102"/>
      <c r="Z13" s="103"/>
      <c r="AA13" s="93" t="s">
        <v>55</v>
      </c>
      <c r="AB13" s="95"/>
      <c r="AC13" s="31" t="s">
        <v>56</v>
      </c>
      <c r="AD13" s="31" t="s">
        <v>45</v>
      </c>
      <c r="AE13" s="32" t="s">
        <v>44</v>
      </c>
      <c r="AF13" s="87"/>
      <c r="AG13" s="31" t="s">
        <v>2</v>
      </c>
      <c r="AH13" s="32" t="s">
        <v>3</v>
      </c>
      <c r="AI13" s="31" t="s">
        <v>49</v>
      </c>
      <c r="AJ13" s="31" t="s">
        <v>46</v>
      </c>
      <c r="AK13" s="31" t="s">
        <v>61</v>
      </c>
      <c r="AL13" s="31" t="s">
        <v>62</v>
      </c>
      <c r="AM13" s="87"/>
      <c r="AN13" s="87"/>
      <c r="AR13" s="30"/>
    </row>
    <row r="14" spans="1:44" s="62" customFormat="1" ht="69.75" customHeight="1" x14ac:dyDescent="0.2">
      <c r="A14" s="41">
        <v>1</v>
      </c>
      <c r="B14" s="56" t="s">
        <v>66</v>
      </c>
      <c r="C14" s="56" t="s">
        <v>10</v>
      </c>
      <c r="D14" s="60" t="s">
        <v>74</v>
      </c>
      <c r="E14" s="36" t="s">
        <v>76</v>
      </c>
      <c r="F14" s="56" t="s">
        <v>67</v>
      </c>
      <c r="G14" s="58" t="s">
        <v>72</v>
      </c>
      <c r="H14" s="59" t="s">
        <v>15</v>
      </c>
      <c r="I14" s="59">
        <v>45661</v>
      </c>
      <c r="J14" s="73" t="s">
        <v>349</v>
      </c>
      <c r="K14" s="73"/>
      <c r="L14" s="74"/>
      <c r="M14" s="104" t="s">
        <v>362</v>
      </c>
      <c r="N14" s="108"/>
      <c r="O14" s="109"/>
      <c r="P14" s="52" t="s">
        <v>68</v>
      </c>
      <c r="Q14" s="52" t="s">
        <v>68</v>
      </c>
      <c r="R14" s="104" t="s">
        <v>350</v>
      </c>
      <c r="S14" s="74"/>
      <c r="T14" s="52" t="s">
        <v>73</v>
      </c>
      <c r="U14" s="59">
        <v>45674</v>
      </c>
      <c r="V14" s="59">
        <v>45674</v>
      </c>
      <c r="W14" s="61">
        <v>1</v>
      </c>
      <c r="X14" s="122" t="s">
        <v>180</v>
      </c>
      <c r="Y14" s="123"/>
      <c r="Z14" s="124"/>
      <c r="AA14" s="75" t="s">
        <v>364</v>
      </c>
      <c r="AB14" s="76"/>
      <c r="AC14" s="59" t="s">
        <v>73</v>
      </c>
      <c r="AD14" s="59">
        <v>45674</v>
      </c>
      <c r="AE14" s="59">
        <v>45674</v>
      </c>
      <c r="AF14" s="61">
        <v>1</v>
      </c>
      <c r="AG14" s="59">
        <v>45705</v>
      </c>
      <c r="AH14" s="59">
        <v>45705</v>
      </c>
      <c r="AI14" s="59" t="s">
        <v>68</v>
      </c>
      <c r="AJ14" s="59" t="s">
        <v>68</v>
      </c>
      <c r="AK14" s="59" t="s">
        <v>222</v>
      </c>
      <c r="AL14" s="59" t="s">
        <v>68</v>
      </c>
      <c r="AM14" s="59"/>
      <c r="AN14" s="59">
        <v>45705</v>
      </c>
    </row>
    <row r="15" spans="1:44" s="62" customFormat="1" ht="82.5" customHeight="1" x14ac:dyDescent="0.2">
      <c r="A15" s="41">
        <f>+A14+1</f>
        <v>2</v>
      </c>
      <c r="B15" s="56" t="s">
        <v>66</v>
      </c>
      <c r="C15" s="56" t="s">
        <v>10</v>
      </c>
      <c r="D15" s="56" t="s">
        <v>71</v>
      </c>
      <c r="E15" s="64" t="s">
        <v>69</v>
      </c>
      <c r="F15" s="56" t="s">
        <v>77</v>
      </c>
      <c r="G15" s="65" t="s">
        <v>75</v>
      </c>
      <c r="H15" s="66" t="s">
        <v>15</v>
      </c>
      <c r="I15" s="45">
        <v>45672</v>
      </c>
      <c r="J15" s="113" t="s">
        <v>351</v>
      </c>
      <c r="K15" s="114"/>
      <c r="L15" s="115"/>
      <c r="M15" s="104" t="s">
        <v>165</v>
      </c>
      <c r="N15" s="108"/>
      <c r="O15" s="109"/>
      <c r="P15" s="52" t="s">
        <v>68</v>
      </c>
      <c r="Q15" s="52" t="s">
        <v>68</v>
      </c>
      <c r="R15" s="104" t="s">
        <v>352</v>
      </c>
      <c r="S15" s="74"/>
      <c r="T15" s="67" t="s">
        <v>73</v>
      </c>
      <c r="U15" s="45">
        <v>45672</v>
      </c>
      <c r="V15" s="45">
        <v>45672</v>
      </c>
      <c r="W15" s="61">
        <v>1</v>
      </c>
      <c r="X15" s="122" t="s">
        <v>181</v>
      </c>
      <c r="Y15" s="123"/>
      <c r="Z15" s="124"/>
      <c r="AA15" s="75" t="s">
        <v>204</v>
      </c>
      <c r="AB15" s="76"/>
      <c r="AC15" s="59" t="s">
        <v>74</v>
      </c>
      <c r="AD15" s="59">
        <v>45672</v>
      </c>
      <c r="AE15" s="59">
        <v>45672</v>
      </c>
      <c r="AF15" s="61">
        <v>1</v>
      </c>
      <c r="AG15" s="59">
        <v>45703</v>
      </c>
      <c r="AH15" s="59">
        <v>45703</v>
      </c>
      <c r="AI15" s="59" t="s">
        <v>68</v>
      </c>
      <c r="AJ15" s="59" t="s">
        <v>68</v>
      </c>
      <c r="AK15" s="59" t="s">
        <v>223</v>
      </c>
      <c r="AL15" s="59" t="s">
        <v>68</v>
      </c>
      <c r="AM15" s="59"/>
      <c r="AN15" s="59">
        <v>45703</v>
      </c>
      <c r="AR15" s="68"/>
    </row>
    <row r="16" spans="1:44" s="62" customFormat="1" ht="60.75" customHeight="1" x14ac:dyDescent="0.2">
      <c r="A16" s="41">
        <f t="shared" ref="A16:A60" si="2">+A15+1</f>
        <v>3</v>
      </c>
      <c r="B16" s="56" t="s">
        <v>66</v>
      </c>
      <c r="C16" s="56" t="s">
        <v>10</v>
      </c>
      <c r="D16" s="60" t="s">
        <v>74</v>
      </c>
      <c r="E16" s="36" t="s">
        <v>76</v>
      </c>
      <c r="F16" s="56" t="s">
        <v>67</v>
      </c>
      <c r="G16" s="58" t="s">
        <v>79</v>
      </c>
      <c r="H16" s="59" t="s">
        <v>78</v>
      </c>
      <c r="I16" s="59">
        <v>45692</v>
      </c>
      <c r="J16" s="73" t="s">
        <v>353</v>
      </c>
      <c r="K16" s="73"/>
      <c r="L16" s="74"/>
      <c r="M16" s="104" t="s">
        <v>167</v>
      </c>
      <c r="N16" s="108"/>
      <c r="O16" s="109"/>
      <c r="P16" s="52" t="s">
        <v>68</v>
      </c>
      <c r="Q16" s="52" t="s">
        <v>68</v>
      </c>
      <c r="R16" s="104" t="s">
        <v>205</v>
      </c>
      <c r="S16" s="74"/>
      <c r="T16" s="52" t="s">
        <v>74</v>
      </c>
      <c r="U16" s="59">
        <v>45692</v>
      </c>
      <c r="V16" s="59">
        <v>45692</v>
      </c>
      <c r="W16" s="61">
        <v>1</v>
      </c>
      <c r="X16" s="122" t="s">
        <v>182</v>
      </c>
      <c r="Y16" s="123"/>
      <c r="Z16" s="124"/>
      <c r="AA16" s="75" t="s">
        <v>206</v>
      </c>
      <c r="AB16" s="76"/>
      <c r="AC16" s="59" t="s">
        <v>74</v>
      </c>
      <c r="AD16" s="59">
        <v>45692</v>
      </c>
      <c r="AE16" s="59">
        <v>45692</v>
      </c>
      <c r="AF16" s="61">
        <v>1</v>
      </c>
      <c r="AG16" s="59">
        <v>45692</v>
      </c>
      <c r="AH16" s="59">
        <v>45692</v>
      </c>
      <c r="AI16" s="59" t="s">
        <v>68</v>
      </c>
      <c r="AJ16" s="59" t="s">
        <v>68</v>
      </c>
      <c r="AK16" s="59" t="s">
        <v>224</v>
      </c>
      <c r="AL16" s="59" t="s">
        <v>68</v>
      </c>
      <c r="AM16" s="59" t="s">
        <v>68</v>
      </c>
      <c r="AN16" s="59">
        <v>45692</v>
      </c>
    </row>
    <row r="17" spans="1:40" s="62" customFormat="1" ht="157.5" customHeight="1" x14ac:dyDescent="0.2">
      <c r="A17" s="41">
        <f t="shared" si="2"/>
        <v>4</v>
      </c>
      <c r="B17" s="56" t="s">
        <v>66</v>
      </c>
      <c r="C17" s="56" t="s">
        <v>10</v>
      </c>
      <c r="D17" s="60" t="s">
        <v>74</v>
      </c>
      <c r="E17" s="36" t="s">
        <v>76</v>
      </c>
      <c r="F17" s="56" t="s">
        <v>67</v>
      </c>
      <c r="G17" s="58" t="s">
        <v>80</v>
      </c>
      <c r="H17" s="59" t="s">
        <v>17</v>
      </c>
      <c r="I17" s="59">
        <v>45741</v>
      </c>
      <c r="J17" s="73" t="s">
        <v>354</v>
      </c>
      <c r="K17" s="73"/>
      <c r="L17" s="74"/>
      <c r="M17" s="104" t="s">
        <v>168</v>
      </c>
      <c r="N17" s="108"/>
      <c r="O17" s="109"/>
      <c r="P17" s="52" t="s">
        <v>68</v>
      </c>
      <c r="Q17" s="52" t="s">
        <v>68</v>
      </c>
      <c r="R17" s="104" t="s">
        <v>196</v>
      </c>
      <c r="S17" s="74"/>
      <c r="T17" s="52" t="s">
        <v>73</v>
      </c>
      <c r="U17" s="59">
        <v>45743</v>
      </c>
      <c r="V17" s="59">
        <v>45743</v>
      </c>
      <c r="W17" s="61">
        <v>1</v>
      </c>
      <c r="X17" s="122" t="s">
        <v>183</v>
      </c>
      <c r="Y17" s="123"/>
      <c r="Z17" s="124"/>
      <c r="AA17" s="75" t="s">
        <v>204</v>
      </c>
      <c r="AB17" s="76"/>
      <c r="AC17" s="59" t="s">
        <v>74</v>
      </c>
      <c r="AD17" s="59">
        <v>45743</v>
      </c>
      <c r="AE17" s="59">
        <v>45743</v>
      </c>
      <c r="AF17" s="61">
        <v>1</v>
      </c>
      <c r="AG17" s="59">
        <v>45743</v>
      </c>
      <c r="AH17" s="59">
        <v>45743</v>
      </c>
      <c r="AI17" s="59" t="s">
        <v>68</v>
      </c>
      <c r="AJ17" s="59" t="s">
        <v>68</v>
      </c>
      <c r="AK17" s="59" t="s">
        <v>222</v>
      </c>
      <c r="AL17" s="59" t="s">
        <v>68</v>
      </c>
      <c r="AM17" s="59" t="s">
        <v>68</v>
      </c>
      <c r="AN17" s="59">
        <v>45743</v>
      </c>
    </row>
    <row r="18" spans="1:40" s="62" customFormat="1" ht="173.25" customHeight="1" x14ac:dyDescent="0.2">
      <c r="A18" s="41">
        <f t="shared" si="2"/>
        <v>5</v>
      </c>
      <c r="B18" s="56" t="s">
        <v>66</v>
      </c>
      <c r="C18" s="56" t="s">
        <v>10</v>
      </c>
      <c r="D18" s="60" t="s">
        <v>74</v>
      </c>
      <c r="E18" s="36" t="s">
        <v>76</v>
      </c>
      <c r="F18" s="56" t="s">
        <v>67</v>
      </c>
      <c r="G18" s="58" t="s">
        <v>81</v>
      </c>
      <c r="H18" s="59" t="s">
        <v>17</v>
      </c>
      <c r="I18" s="59">
        <v>45741</v>
      </c>
      <c r="J18" s="73" t="s">
        <v>355</v>
      </c>
      <c r="K18" s="73"/>
      <c r="L18" s="74"/>
      <c r="M18" s="104" t="s">
        <v>363</v>
      </c>
      <c r="N18" s="108"/>
      <c r="O18" s="109"/>
      <c r="P18" s="52" t="s">
        <v>68</v>
      </c>
      <c r="Q18" s="52" t="s">
        <v>68</v>
      </c>
      <c r="R18" s="104" t="s">
        <v>207</v>
      </c>
      <c r="S18" s="74"/>
      <c r="T18" s="52" t="s">
        <v>73</v>
      </c>
      <c r="U18" s="59">
        <v>45741</v>
      </c>
      <c r="V18" s="59">
        <v>45741</v>
      </c>
      <c r="W18" s="61">
        <v>1</v>
      </c>
      <c r="X18" s="122" t="s">
        <v>184</v>
      </c>
      <c r="Y18" s="123"/>
      <c r="Z18" s="124"/>
      <c r="AA18" s="75" t="s">
        <v>365</v>
      </c>
      <c r="AB18" s="76"/>
      <c r="AC18" s="59" t="s">
        <v>73</v>
      </c>
      <c r="AD18" s="69">
        <v>45748</v>
      </c>
      <c r="AE18" s="59">
        <v>45755</v>
      </c>
      <c r="AF18" s="61">
        <v>1</v>
      </c>
      <c r="AG18" s="59">
        <v>45757</v>
      </c>
      <c r="AH18" s="59">
        <v>45757</v>
      </c>
      <c r="AI18" s="59" t="s">
        <v>68</v>
      </c>
      <c r="AJ18" s="59" t="s">
        <v>68</v>
      </c>
      <c r="AK18" s="59" t="s">
        <v>225</v>
      </c>
      <c r="AL18" s="59" t="s">
        <v>68</v>
      </c>
      <c r="AM18" s="59" t="s">
        <v>68</v>
      </c>
      <c r="AN18" s="59">
        <v>45757</v>
      </c>
    </row>
    <row r="19" spans="1:40" s="62" customFormat="1" ht="50.25" customHeight="1" x14ac:dyDescent="0.2">
      <c r="A19" s="41">
        <f t="shared" si="2"/>
        <v>6</v>
      </c>
      <c r="B19" s="56" t="s">
        <v>66</v>
      </c>
      <c r="C19" s="56" t="s">
        <v>10</v>
      </c>
      <c r="D19" s="56" t="s">
        <v>71</v>
      </c>
      <c r="E19" s="64" t="s">
        <v>69</v>
      </c>
      <c r="F19" s="56" t="s">
        <v>67</v>
      </c>
      <c r="G19" s="65" t="s">
        <v>82</v>
      </c>
      <c r="H19" s="66" t="s">
        <v>18</v>
      </c>
      <c r="I19" s="45">
        <v>45755</v>
      </c>
      <c r="J19" s="73" t="s">
        <v>356</v>
      </c>
      <c r="K19" s="73"/>
      <c r="L19" s="74"/>
      <c r="M19" s="104" t="s">
        <v>169</v>
      </c>
      <c r="N19" s="108"/>
      <c r="O19" s="109"/>
      <c r="P19" s="52" t="s">
        <v>68</v>
      </c>
      <c r="Q19" s="52" t="s">
        <v>68</v>
      </c>
      <c r="R19" s="104" t="s">
        <v>209</v>
      </c>
      <c r="S19" s="74"/>
      <c r="T19" s="52" t="s">
        <v>73</v>
      </c>
      <c r="U19" s="45">
        <v>45755</v>
      </c>
      <c r="V19" s="45">
        <v>45755</v>
      </c>
      <c r="W19" s="61">
        <v>1</v>
      </c>
      <c r="X19" s="122" t="s">
        <v>185</v>
      </c>
      <c r="Y19" s="123"/>
      <c r="Z19" s="124"/>
      <c r="AA19" s="75" t="s">
        <v>208</v>
      </c>
      <c r="AB19" s="76"/>
      <c r="AC19" s="59" t="s">
        <v>74</v>
      </c>
      <c r="AD19" s="59">
        <v>45761</v>
      </c>
      <c r="AE19" s="59">
        <v>45761</v>
      </c>
      <c r="AF19" s="61">
        <v>1</v>
      </c>
      <c r="AG19" s="59">
        <v>45761</v>
      </c>
      <c r="AH19" s="59">
        <v>45761</v>
      </c>
      <c r="AI19" s="59" t="s">
        <v>68</v>
      </c>
      <c r="AJ19" s="59" t="s">
        <v>68</v>
      </c>
      <c r="AK19" s="59" t="s">
        <v>224</v>
      </c>
      <c r="AL19" s="59" t="s">
        <v>68</v>
      </c>
      <c r="AM19" s="59" t="s">
        <v>68</v>
      </c>
      <c r="AN19" s="59">
        <v>45761</v>
      </c>
    </row>
    <row r="20" spans="1:40" s="62" customFormat="1" ht="220.5" customHeight="1" x14ac:dyDescent="0.2">
      <c r="A20" s="41">
        <f t="shared" si="2"/>
        <v>7</v>
      </c>
      <c r="B20" s="56" t="s">
        <v>66</v>
      </c>
      <c r="C20" s="56" t="s">
        <v>10</v>
      </c>
      <c r="D20" s="56" t="s">
        <v>71</v>
      </c>
      <c r="E20" s="64" t="s">
        <v>69</v>
      </c>
      <c r="F20" s="56" t="s">
        <v>67</v>
      </c>
      <c r="G20" s="58" t="s">
        <v>83</v>
      </c>
      <c r="H20" s="66" t="s">
        <v>18</v>
      </c>
      <c r="I20" s="59">
        <v>45762</v>
      </c>
      <c r="J20" s="73" t="s">
        <v>357</v>
      </c>
      <c r="K20" s="73"/>
      <c r="L20" s="74"/>
      <c r="M20" s="104" t="s">
        <v>170</v>
      </c>
      <c r="N20" s="108"/>
      <c r="O20" s="109"/>
      <c r="P20" s="52" t="s">
        <v>68</v>
      </c>
      <c r="Q20" s="52" t="s">
        <v>68</v>
      </c>
      <c r="R20" s="104" t="s">
        <v>211</v>
      </c>
      <c r="S20" s="74"/>
      <c r="T20" s="52" t="s">
        <v>73</v>
      </c>
      <c r="U20" s="59">
        <v>45762</v>
      </c>
      <c r="V20" s="59">
        <v>45763</v>
      </c>
      <c r="W20" s="61">
        <v>1</v>
      </c>
      <c r="X20" s="122" t="s">
        <v>186</v>
      </c>
      <c r="Y20" s="123"/>
      <c r="Z20" s="124"/>
      <c r="AA20" s="75" t="s">
        <v>210</v>
      </c>
      <c r="AB20" s="76"/>
      <c r="AC20" s="59" t="s">
        <v>74</v>
      </c>
      <c r="AD20" s="59">
        <v>45763</v>
      </c>
      <c r="AE20" s="59">
        <v>45763</v>
      </c>
      <c r="AF20" s="61">
        <v>1</v>
      </c>
      <c r="AG20" s="59">
        <v>45763</v>
      </c>
      <c r="AH20" s="59">
        <v>45763</v>
      </c>
      <c r="AI20" s="59" t="s">
        <v>68</v>
      </c>
      <c r="AJ20" s="59" t="s">
        <v>68</v>
      </c>
      <c r="AK20" s="59" t="s">
        <v>224</v>
      </c>
      <c r="AL20" s="59" t="s">
        <v>68</v>
      </c>
      <c r="AM20" s="59" t="s">
        <v>68</v>
      </c>
      <c r="AN20" s="59">
        <v>45763</v>
      </c>
    </row>
    <row r="21" spans="1:40" s="9" customFormat="1" ht="220.5" customHeight="1" x14ac:dyDescent="0.2">
      <c r="A21" s="49">
        <f t="shared" si="2"/>
        <v>8</v>
      </c>
      <c r="B21" s="43" t="s">
        <v>85</v>
      </c>
      <c r="C21" s="43" t="s">
        <v>9</v>
      </c>
      <c r="D21" s="43" t="s">
        <v>86</v>
      </c>
      <c r="E21" s="43" t="s">
        <v>146</v>
      </c>
      <c r="F21" s="43" t="s">
        <v>77</v>
      </c>
      <c r="G21" s="44" t="s">
        <v>109</v>
      </c>
      <c r="H21" s="42" t="s">
        <v>19</v>
      </c>
      <c r="I21" s="42">
        <v>45806</v>
      </c>
      <c r="J21" s="79" t="s">
        <v>91</v>
      </c>
      <c r="K21" s="117"/>
      <c r="L21" s="118"/>
      <c r="M21" s="79" t="s">
        <v>366</v>
      </c>
      <c r="N21" s="80"/>
      <c r="O21" s="81"/>
      <c r="P21" s="39" t="s">
        <v>68</v>
      </c>
      <c r="Q21" s="39" t="s">
        <v>68</v>
      </c>
      <c r="R21" s="110" t="s">
        <v>239</v>
      </c>
      <c r="S21" s="116"/>
      <c r="T21" s="39" t="s">
        <v>73</v>
      </c>
      <c r="U21" s="38" t="s">
        <v>147</v>
      </c>
      <c r="V21" s="38">
        <v>45827</v>
      </c>
      <c r="W21" s="40">
        <v>1</v>
      </c>
      <c r="X21" s="105" t="s">
        <v>150</v>
      </c>
      <c r="Y21" s="106"/>
      <c r="Z21" s="107"/>
      <c r="AA21" s="119" t="s">
        <v>212</v>
      </c>
      <c r="AB21" s="120"/>
      <c r="AC21" s="42" t="s">
        <v>148</v>
      </c>
      <c r="AD21" s="42">
        <v>45853</v>
      </c>
      <c r="AE21" s="42">
        <v>45853</v>
      </c>
      <c r="AF21" s="40">
        <v>1</v>
      </c>
      <c r="AG21" s="42" t="s">
        <v>369</v>
      </c>
      <c r="AH21" s="42"/>
      <c r="AI21" s="42" t="s">
        <v>68</v>
      </c>
      <c r="AJ21" s="42" t="s">
        <v>68</v>
      </c>
      <c r="AK21" s="45" t="s">
        <v>226</v>
      </c>
      <c r="AL21" s="42" t="s">
        <v>68</v>
      </c>
      <c r="AM21" s="42"/>
      <c r="AN21" s="42"/>
    </row>
    <row r="22" spans="1:40" s="9" customFormat="1" ht="273.75" customHeight="1" x14ac:dyDescent="0.2">
      <c r="A22" s="49">
        <f t="shared" si="2"/>
        <v>9</v>
      </c>
      <c r="B22" s="43" t="s">
        <v>85</v>
      </c>
      <c r="C22" s="43" t="s">
        <v>9</v>
      </c>
      <c r="D22" s="43" t="s">
        <v>86</v>
      </c>
      <c r="E22" s="43" t="s">
        <v>146</v>
      </c>
      <c r="F22" s="43" t="s">
        <v>77</v>
      </c>
      <c r="G22" s="44" t="s">
        <v>110</v>
      </c>
      <c r="H22" s="42" t="s">
        <v>19</v>
      </c>
      <c r="I22" s="42">
        <v>45806</v>
      </c>
      <c r="J22" s="79" t="s">
        <v>93</v>
      </c>
      <c r="K22" s="117"/>
      <c r="L22" s="118"/>
      <c r="M22" s="79" t="s">
        <v>370</v>
      </c>
      <c r="N22" s="80"/>
      <c r="O22" s="81"/>
      <c r="P22" s="43" t="s">
        <v>68</v>
      </c>
      <c r="Q22" s="43" t="s">
        <v>68</v>
      </c>
      <c r="R22" s="110" t="s">
        <v>240</v>
      </c>
      <c r="S22" s="116"/>
      <c r="T22" s="39" t="s">
        <v>73</v>
      </c>
      <c r="U22" s="38" t="s">
        <v>147</v>
      </c>
      <c r="V22" s="38">
        <v>45828</v>
      </c>
      <c r="W22" s="40">
        <v>1</v>
      </c>
      <c r="X22" s="105" t="s">
        <v>149</v>
      </c>
      <c r="Y22" s="106"/>
      <c r="Z22" s="107"/>
      <c r="AA22" s="77" t="s">
        <v>151</v>
      </c>
      <c r="AB22" s="78"/>
      <c r="AC22" s="42" t="s">
        <v>73</v>
      </c>
      <c r="AD22" s="38">
        <v>45882</v>
      </c>
      <c r="AE22" s="38">
        <v>45882</v>
      </c>
      <c r="AF22" s="40">
        <v>1</v>
      </c>
      <c r="AG22" s="42" t="s">
        <v>369</v>
      </c>
      <c r="AH22" s="42"/>
      <c r="AI22" s="42" t="s">
        <v>68</v>
      </c>
      <c r="AJ22" s="42" t="s">
        <v>68</v>
      </c>
      <c r="AK22" s="45" t="s">
        <v>227</v>
      </c>
      <c r="AL22" s="42" t="s">
        <v>68</v>
      </c>
      <c r="AM22" s="42"/>
      <c r="AN22" s="42"/>
    </row>
    <row r="23" spans="1:40" s="9" customFormat="1" ht="66.75" customHeight="1" x14ac:dyDescent="0.2">
      <c r="A23" s="54">
        <f>+A22+1</f>
        <v>10</v>
      </c>
      <c r="B23" s="43" t="s">
        <v>85</v>
      </c>
      <c r="C23" s="43" t="s">
        <v>9</v>
      </c>
      <c r="D23" s="43" t="s">
        <v>86</v>
      </c>
      <c r="E23" s="43" t="s">
        <v>146</v>
      </c>
      <c r="F23" s="43" t="s">
        <v>67</v>
      </c>
      <c r="G23" s="44" t="s">
        <v>111</v>
      </c>
      <c r="H23" s="42" t="s">
        <v>19</v>
      </c>
      <c r="I23" s="42">
        <v>45806</v>
      </c>
      <c r="J23" s="113" t="s">
        <v>158</v>
      </c>
      <c r="K23" s="114"/>
      <c r="L23" s="115"/>
      <c r="M23" s="79" t="s">
        <v>159</v>
      </c>
      <c r="N23" s="80"/>
      <c r="O23" s="81"/>
      <c r="P23" s="43" t="s">
        <v>68</v>
      </c>
      <c r="Q23" s="43" t="s">
        <v>68</v>
      </c>
      <c r="R23" s="110" t="s">
        <v>367</v>
      </c>
      <c r="S23" s="116"/>
      <c r="T23" s="43" t="s">
        <v>73</v>
      </c>
      <c r="U23" s="42" t="s">
        <v>161</v>
      </c>
      <c r="V23" s="42">
        <v>45883</v>
      </c>
      <c r="W23" s="46">
        <v>1</v>
      </c>
      <c r="X23" s="105" t="s">
        <v>160</v>
      </c>
      <c r="Y23" s="106"/>
      <c r="Z23" s="107"/>
      <c r="AA23" s="77" t="s">
        <v>368</v>
      </c>
      <c r="AB23" s="78"/>
      <c r="AC23" s="38" t="s">
        <v>73</v>
      </c>
      <c r="AD23" s="38" t="s">
        <v>162</v>
      </c>
      <c r="AE23" s="38"/>
      <c r="AF23" s="40"/>
      <c r="AG23" s="38"/>
      <c r="AH23" s="38"/>
      <c r="AI23" s="38" t="s">
        <v>68</v>
      </c>
      <c r="AJ23" s="38" t="s">
        <v>68</v>
      </c>
      <c r="AK23" s="38" t="s">
        <v>228</v>
      </c>
      <c r="AL23" s="38"/>
      <c r="AM23" s="38"/>
      <c r="AN23" s="38"/>
    </row>
    <row r="24" spans="1:40" s="9" customFormat="1" ht="48" customHeight="1" x14ac:dyDescent="0.2">
      <c r="A24" s="55">
        <f>+A23+1</f>
        <v>11</v>
      </c>
      <c r="B24" s="34" t="s">
        <v>85</v>
      </c>
      <c r="C24" s="34" t="s">
        <v>9</v>
      </c>
      <c r="D24" s="35" t="s">
        <v>86</v>
      </c>
      <c r="E24" s="35" t="s">
        <v>146</v>
      </c>
      <c r="F24" s="34" t="s">
        <v>67</v>
      </c>
      <c r="G24" s="37" t="s">
        <v>112</v>
      </c>
      <c r="H24" s="38" t="s">
        <v>19</v>
      </c>
      <c r="I24" s="38">
        <v>45806</v>
      </c>
      <c r="J24" s="73" t="s">
        <v>94</v>
      </c>
      <c r="K24" s="73"/>
      <c r="L24" s="74"/>
      <c r="M24" s="110" t="s">
        <v>163</v>
      </c>
      <c r="N24" s="111"/>
      <c r="O24" s="112"/>
      <c r="P24" s="39" t="s">
        <v>68</v>
      </c>
      <c r="Q24" s="39" t="s">
        <v>68</v>
      </c>
      <c r="R24" s="110" t="s">
        <v>197</v>
      </c>
      <c r="S24" s="116"/>
      <c r="T24" s="39" t="s">
        <v>73</v>
      </c>
      <c r="U24" s="38">
        <v>45806</v>
      </c>
      <c r="V24" s="38">
        <v>45806</v>
      </c>
      <c r="W24" s="40">
        <v>1</v>
      </c>
      <c r="X24" s="105" t="s">
        <v>187</v>
      </c>
      <c r="Y24" s="106"/>
      <c r="Z24" s="107"/>
      <c r="AA24" s="77" t="s">
        <v>213</v>
      </c>
      <c r="AB24" s="78" t="s">
        <v>213</v>
      </c>
      <c r="AC24" s="38"/>
      <c r="AD24" s="38"/>
      <c r="AE24" s="38"/>
      <c r="AF24" s="40"/>
      <c r="AG24" s="38"/>
      <c r="AH24" s="38"/>
      <c r="AI24" s="38" t="s">
        <v>68</v>
      </c>
      <c r="AJ24" s="38" t="s">
        <v>68</v>
      </c>
      <c r="AK24" s="38" t="s">
        <v>229</v>
      </c>
      <c r="AL24" s="38"/>
      <c r="AM24" s="38"/>
      <c r="AN24" s="38"/>
    </row>
    <row r="25" spans="1:40" s="9" customFormat="1" ht="41.25" customHeight="1" x14ac:dyDescent="0.2">
      <c r="A25" s="48">
        <f>+A24+1</f>
        <v>12</v>
      </c>
      <c r="B25" s="34" t="s">
        <v>85</v>
      </c>
      <c r="C25" s="34" t="s">
        <v>9</v>
      </c>
      <c r="D25" s="35" t="s">
        <v>86</v>
      </c>
      <c r="E25" s="35" t="s">
        <v>146</v>
      </c>
      <c r="F25" s="25" t="s">
        <v>77</v>
      </c>
      <c r="G25" s="37" t="s">
        <v>113</v>
      </c>
      <c r="H25" s="38" t="s">
        <v>19</v>
      </c>
      <c r="I25" s="38">
        <v>45806</v>
      </c>
      <c r="J25" s="73" t="s">
        <v>92</v>
      </c>
      <c r="K25" s="73"/>
      <c r="L25" s="74"/>
      <c r="M25" s="110" t="s">
        <v>171</v>
      </c>
      <c r="N25" s="111"/>
      <c r="O25" s="112"/>
      <c r="P25" s="39" t="s">
        <v>68</v>
      </c>
      <c r="Q25" s="39" t="s">
        <v>68</v>
      </c>
      <c r="R25" s="110" t="s">
        <v>358</v>
      </c>
      <c r="S25" s="116"/>
      <c r="T25" s="39" t="s">
        <v>359</v>
      </c>
      <c r="U25" s="38" t="s">
        <v>360</v>
      </c>
      <c r="V25" s="38"/>
      <c r="W25" s="40"/>
      <c r="X25" s="105" t="s">
        <v>188</v>
      </c>
      <c r="Y25" s="106"/>
      <c r="Z25" s="107"/>
      <c r="AA25" s="77" t="s">
        <v>361</v>
      </c>
      <c r="AB25" s="78" t="s">
        <v>214</v>
      </c>
      <c r="AC25" s="38" t="s">
        <v>73</v>
      </c>
      <c r="AD25" s="38" t="s">
        <v>360</v>
      </c>
      <c r="AE25" s="38"/>
      <c r="AF25" s="40"/>
      <c r="AG25" s="38"/>
      <c r="AH25" s="38"/>
      <c r="AI25" s="38" t="s">
        <v>68</v>
      </c>
      <c r="AJ25" s="38" t="s">
        <v>68</v>
      </c>
      <c r="AK25" s="38" t="s">
        <v>68</v>
      </c>
      <c r="AL25" s="38" t="s">
        <v>230</v>
      </c>
      <c r="AM25" s="38"/>
      <c r="AN25" s="38"/>
    </row>
    <row r="26" spans="1:40" s="62" customFormat="1" ht="97.5" customHeight="1" x14ac:dyDescent="0.2">
      <c r="A26" s="41">
        <f>+A25+1</f>
        <v>13</v>
      </c>
      <c r="B26" s="56" t="s">
        <v>85</v>
      </c>
      <c r="C26" s="56" t="s">
        <v>9</v>
      </c>
      <c r="D26" s="60" t="s">
        <v>86</v>
      </c>
      <c r="E26" s="60" t="s">
        <v>146</v>
      </c>
      <c r="F26" s="70" t="s">
        <v>67</v>
      </c>
      <c r="G26" s="58" t="s">
        <v>114</v>
      </c>
      <c r="H26" s="59" t="s">
        <v>19</v>
      </c>
      <c r="I26" s="59">
        <v>45806</v>
      </c>
      <c r="J26" s="73" t="s">
        <v>89</v>
      </c>
      <c r="K26" s="73"/>
      <c r="L26" s="74"/>
      <c r="M26" s="104" t="s">
        <v>172</v>
      </c>
      <c r="N26" s="108"/>
      <c r="O26" s="109"/>
      <c r="P26" s="52" t="s">
        <v>68</v>
      </c>
      <c r="Q26" s="52" t="s">
        <v>68</v>
      </c>
      <c r="R26" s="104" t="s">
        <v>198</v>
      </c>
      <c r="S26" s="74"/>
      <c r="T26" s="52" t="s">
        <v>73</v>
      </c>
      <c r="U26" s="59">
        <v>45838</v>
      </c>
      <c r="V26" s="59">
        <v>45838</v>
      </c>
      <c r="W26" s="61">
        <v>1</v>
      </c>
      <c r="X26" s="122" t="s">
        <v>189</v>
      </c>
      <c r="Y26" s="123"/>
      <c r="Z26" s="124"/>
      <c r="AA26" s="125" t="s">
        <v>215</v>
      </c>
      <c r="AB26" s="126"/>
      <c r="AC26" s="59" t="s">
        <v>74</v>
      </c>
      <c r="AD26" s="59" t="s">
        <v>241</v>
      </c>
      <c r="AE26" s="59">
        <v>45890</v>
      </c>
      <c r="AF26" s="61">
        <v>1</v>
      </c>
      <c r="AG26" s="59">
        <v>45921</v>
      </c>
      <c r="AH26" s="59">
        <v>45921</v>
      </c>
      <c r="AI26" s="59" t="s">
        <v>68</v>
      </c>
      <c r="AJ26" s="59" t="s">
        <v>68</v>
      </c>
      <c r="AK26" s="59" t="s">
        <v>231</v>
      </c>
      <c r="AL26" s="59"/>
      <c r="AM26" s="59"/>
      <c r="AN26" s="59">
        <v>45921</v>
      </c>
    </row>
    <row r="27" spans="1:40" s="62" customFormat="1" ht="41.25" customHeight="1" x14ac:dyDescent="0.2">
      <c r="A27" s="41">
        <f t="shared" si="2"/>
        <v>14</v>
      </c>
      <c r="B27" s="56" t="s">
        <v>85</v>
      </c>
      <c r="C27" s="56" t="s">
        <v>9</v>
      </c>
      <c r="D27" s="60" t="s">
        <v>86</v>
      </c>
      <c r="E27" s="60" t="s">
        <v>146</v>
      </c>
      <c r="F27" s="70" t="s">
        <v>67</v>
      </c>
      <c r="G27" s="58" t="s">
        <v>115</v>
      </c>
      <c r="H27" s="59" t="s">
        <v>19</v>
      </c>
      <c r="I27" s="59">
        <v>45806</v>
      </c>
      <c r="J27" s="73" t="s">
        <v>95</v>
      </c>
      <c r="K27" s="73"/>
      <c r="L27" s="74"/>
      <c r="M27" s="104" t="s">
        <v>173</v>
      </c>
      <c r="N27" s="108"/>
      <c r="O27" s="109"/>
      <c r="P27" s="52" t="s">
        <v>68</v>
      </c>
      <c r="Q27" s="52" t="s">
        <v>68</v>
      </c>
      <c r="R27" s="104" t="s">
        <v>198</v>
      </c>
      <c r="S27" s="74"/>
      <c r="T27" s="52" t="s">
        <v>73</v>
      </c>
      <c r="U27" s="59">
        <v>45838</v>
      </c>
      <c r="V27" s="59">
        <v>45838</v>
      </c>
      <c r="W27" s="61">
        <v>1</v>
      </c>
      <c r="X27" s="122" t="s">
        <v>189</v>
      </c>
      <c r="Y27" s="123"/>
      <c r="Z27" s="124"/>
      <c r="AA27" s="125" t="s">
        <v>215</v>
      </c>
      <c r="AB27" s="126"/>
      <c r="AC27" s="59" t="s">
        <v>74</v>
      </c>
      <c r="AD27" s="59" t="s">
        <v>241</v>
      </c>
      <c r="AE27" s="59">
        <v>45890</v>
      </c>
      <c r="AF27" s="61">
        <v>1</v>
      </c>
      <c r="AG27" s="59">
        <v>45921</v>
      </c>
      <c r="AH27" s="59">
        <v>45921</v>
      </c>
      <c r="AI27" s="59" t="s">
        <v>68</v>
      </c>
      <c r="AJ27" s="59" t="s">
        <v>68</v>
      </c>
      <c r="AK27" s="59" t="s">
        <v>232</v>
      </c>
      <c r="AL27" s="59"/>
      <c r="AM27" s="59"/>
      <c r="AN27" s="59">
        <v>45921</v>
      </c>
    </row>
    <row r="28" spans="1:40" s="9" customFormat="1" ht="129" customHeight="1" x14ac:dyDescent="0.2">
      <c r="A28" s="48">
        <f t="shared" si="2"/>
        <v>15</v>
      </c>
      <c r="B28" s="34" t="s">
        <v>85</v>
      </c>
      <c r="C28" s="34" t="s">
        <v>9</v>
      </c>
      <c r="D28" s="35" t="s">
        <v>86</v>
      </c>
      <c r="E28" s="35" t="s">
        <v>146</v>
      </c>
      <c r="F28" s="25" t="s">
        <v>67</v>
      </c>
      <c r="G28" s="37"/>
      <c r="H28" s="38" t="s">
        <v>19</v>
      </c>
      <c r="I28" s="38">
        <v>45806</v>
      </c>
      <c r="J28" s="73" t="s">
        <v>96</v>
      </c>
      <c r="K28" s="73"/>
      <c r="L28" s="74"/>
      <c r="M28" s="110" t="s">
        <v>179</v>
      </c>
      <c r="N28" s="111"/>
      <c r="O28" s="112"/>
      <c r="P28" s="39" t="s">
        <v>68</v>
      </c>
      <c r="Q28" s="39" t="s">
        <v>68</v>
      </c>
      <c r="R28" s="110" t="s">
        <v>199</v>
      </c>
      <c r="S28" s="116"/>
      <c r="T28" s="50" t="s">
        <v>73</v>
      </c>
      <c r="U28" s="38" t="s">
        <v>360</v>
      </c>
      <c r="V28" s="38"/>
      <c r="W28" s="40"/>
      <c r="X28" s="105" t="s">
        <v>190</v>
      </c>
      <c r="Y28" s="106"/>
      <c r="Z28" s="107"/>
      <c r="AA28" s="77" t="s">
        <v>371</v>
      </c>
      <c r="AB28" s="78" t="s">
        <v>216</v>
      </c>
      <c r="AC28" s="38"/>
      <c r="AD28" s="38"/>
      <c r="AE28" s="38"/>
      <c r="AF28" s="40"/>
      <c r="AG28" s="38"/>
      <c r="AH28" s="38"/>
      <c r="AI28" s="38" t="s">
        <v>68</v>
      </c>
      <c r="AJ28" s="38" t="s">
        <v>68</v>
      </c>
      <c r="AK28" s="38" t="s">
        <v>233</v>
      </c>
      <c r="AL28" s="38"/>
      <c r="AM28" s="38"/>
      <c r="AN28" s="38"/>
    </row>
    <row r="29" spans="1:40" s="62" customFormat="1" ht="67.5" customHeight="1" x14ac:dyDescent="0.2">
      <c r="A29" s="41">
        <f t="shared" si="2"/>
        <v>16</v>
      </c>
      <c r="B29" s="56" t="s">
        <v>85</v>
      </c>
      <c r="C29" s="56" t="s">
        <v>9</v>
      </c>
      <c r="D29" s="60" t="s">
        <v>86</v>
      </c>
      <c r="E29" s="60" t="s">
        <v>146</v>
      </c>
      <c r="F29" s="56" t="s">
        <v>29</v>
      </c>
      <c r="G29" s="58" t="s">
        <v>116</v>
      </c>
      <c r="H29" s="59" t="s">
        <v>19</v>
      </c>
      <c r="I29" s="59">
        <v>45806</v>
      </c>
      <c r="J29" s="73" t="s">
        <v>97</v>
      </c>
      <c r="K29" s="73"/>
      <c r="L29" s="74"/>
      <c r="M29" s="104" t="s">
        <v>174</v>
      </c>
      <c r="N29" s="108"/>
      <c r="O29" s="109"/>
      <c r="P29" s="52" t="s">
        <v>68</v>
      </c>
      <c r="Q29" s="52" t="s">
        <v>68</v>
      </c>
      <c r="R29" s="104" t="s">
        <v>200</v>
      </c>
      <c r="S29" s="74"/>
      <c r="T29" s="52" t="s">
        <v>73</v>
      </c>
      <c r="U29" s="59">
        <v>45810</v>
      </c>
      <c r="V29" s="59">
        <v>45810</v>
      </c>
      <c r="W29" s="61">
        <v>1</v>
      </c>
      <c r="X29" s="122" t="s">
        <v>191</v>
      </c>
      <c r="Y29" s="123"/>
      <c r="Z29" s="124"/>
      <c r="AA29" s="75" t="s">
        <v>372</v>
      </c>
      <c r="AB29" s="76" t="s">
        <v>217</v>
      </c>
      <c r="AC29" s="59" t="s">
        <v>73</v>
      </c>
      <c r="AD29" s="59">
        <v>45810</v>
      </c>
      <c r="AE29" s="59">
        <v>45810</v>
      </c>
      <c r="AF29" s="61">
        <v>1</v>
      </c>
      <c r="AG29" s="59" t="s">
        <v>373</v>
      </c>
      <c r="AH29" s="59"/>
      <c r="AI29" s="59" t="s">
        <v>68</v>
      </c>
      <c r="AJ29" s="59" t="s">
        <v>68</v>
      </c>
      <c r="AK29" s="59" t="s">
        <v>234</v>
      </c>
      <c r="AL29" s="59"/>
      <c r="AM29" s="59"/>
      <c r="AN29" s="59">
        <v>45810</v>
      </c>
    </row>
    <row r="30" spans="1:40" s="9" customFormat="1" ht="113.25" customHeight="1" x14ac:dyDescent="0.2">
      <c r="A30" s="55">
        <f t="shared" si="2"/>
        <v>17</v>
      </c>
      <c r="B30" s="34" t="s">
        <v>85</v>
      </c>
      <c r="C30" s="34" t="s">
        <v>9</v>
      </c>
      <c r="D30" s="35" t="s">
        <v>86</v>
      </c>
      <c r="E30" s="35" t="s">
        <v>146</v>
      </c>
      <c r="F30" s="34" t="s">
        <v>29</v>
      </c>
      <c r="G30" s="37" t="s">
        <v>117</v>
      </c>
      <c r="H30" s="38" t="s">
        <v>19</v>
      </c>
      <c r="I30" s="38">
        <v>45806</v>
      </c>
      <c r="J30" s="73" t="s">
        <v>98</v>
      </c>
      <c r="K30" s="73"/>
      <c r="L30" s="74"/>
      <c r="M30" s="110" t="s">
        <v>175</v>
      </c>
      <c r="N30" s="111"/>
      <c r="O30" s="112"/>
      <c r="P30" s="39" t="s">
        <v>68</v>
      </c>
      <c r="Q30" s="39" t="s">
        <v>68</v>
      </c>
      <c r="R30" s="110" t="s">
        <v>201</v>
      </c>
      <c r="S30" s="116"/>
      <c r="T30" s="50" t="s">
        <v>374</v>
      </c>
      <c r="U30" s="38"/>
      <c r="V30" s="38"/>
      <c r="W30" s="40"/>
      <c r="X30" s="105" t="s">
        <v>192</v>
      </c>
      <c r="Y30" s="106"/>
      <c r="Z30" s="107"/>
      <c r="AA30" s="77" t="s">
        <v>218</v>
      </c>
      <c r="AB30" s="78" t="s">
        <v>218</v>
      </c>
      <c r="AC30" s="38" t="s">
        <v>374</v>
      </c>
      <c r="AD30" s="38"/>
      <c r="AE30" s="38"/>
      <c r="AF30" s="40"/>
      <c r="AG30" s="38"/>
      <c r="AH30" s="38"/>
      <c r="AI30" s="38" t="s">
        <v>68</v>
      </c>
      <c r="AJ30" s="38" t="s">
        <v>68</v>
      </c>
      <c r="AK30" s="38" t="s">
        <v>68</v>
      </c>
      <c r="AL30" s="38" t="s">
        <v>235</v>
      </c>
      <c r="AM30" s="38"/>
      <c r="AN30" s="38"/>
    </row>
    <row r="31" spans="1:40" s="9" customFormat="1" ht="77.25" customHeight="1" x14ac:dyDescent="0.2">
      <c r="A31" s="48">
        <f t="shared" si="2"/>
        <v>18</v>
      </c>
      <c r="B31" s="34" t="s">
        <v>85</v>
      </c>
      <c r="C31" s="34" t="s">
        <v>9</v>
      </c>
      <c r="D31" s="35" t="s">
        <v>86</v>
      </c>
      <c r="E31" s="35" t="s">
        <v>146</v>
      </c>
      <c r="F31" s="34" t="s">
        <v>29</v>
      </c>
      <c r="G31" s="37" t="s">
        <v>118</v>
      </c>
      <c r="H31" s="38" t="s">
        <v>19</v>
      </c>
      <c r="I31" s="38">
        <v>45806</v>
      </c>
      <c r="J31" s="73" t="s">
        <v>99</v>
      </c>
      <c r="K31" s="73"/>
      <c r="L31" s="74"/>
      <c r="M31" s="110" t="s">
        <v>176</v>
      </c>
      <c r="N31" s="111"/>
      <c r="O31" s="112"/>
      <c r="P31" s="39" t="s">
        <v>68</v>
      </c>
      <c r="Q31" s="39" t="s">
        <v>68</v>
      </c>
      <c r="R31" s="110" t="s">
        <v>202</v>
      </c>
      <c r="S31" s="116"/>
      <c r="T31" s="50" t="s">
        <v>73</v>
      </c>
      <c r="U31" s="71">
        <v>45962</v>
      </c>
      <c r="V31" s="59">
        <v>45971</v>
      </c>
      <c r="W31" s="40">
        <v>0.7</v>
      </c>
      <c r="X31" s="105" t="s">
        <v>193</v>
      </c>
      <c r="Y31" s="106"/>
      <c r="Z31" s="107"/>
      <c r="AA31" s="77" t="s">
        <v>219</v>
      </c>
      <c r="AB31" s="78" t="s">
        <v>219</v>
      </c>
      <c r="AC31" s="38"/>
      <c r="AD31" s="38"/>
      <c r="AE31" s="38"/>
      <c r="AF31" s="40"/>
      <c r="AG31" s="38"/>
      <c r="AH31" s="38"/>
      <c r="AI31" s="38" t="s">
        <v>68</v>
      </c>
      <c r="AJ31" s="38" t="s">
        <v>68</v>
      </c>
      <c r="AK31" s="38" t="s">
        <v>236</v>
      </c>
      <c r="AL31" s="38" t="s">
        <v>68</v>
      </c>
      <c r="AM31" s="38"/>
      <c r="AN31" s="38"/>
    </row>
    <row r="32" spans="1:40" s="9" customFormat="1" ht="83.25" customHeight="1" x14ac:dyDescent="0.2">
      <c r="A32" s="48">
        <f t="shared" si="2"/>
        <v>19</v>
      </c>
      <c r="B32" s="34" t="s">
        <v>85</v>
      </c>
      <c r="C32" s="34" t="s">
        <v>9</v>
      </c>
      <c r="D32" s="35" t="s">
        <v>86</v>
      </c>
      <c r="E32" s="35" t="s">
        <v>146</v>
      </c>
      <c r="F32" s="34" t="s">
        <v>29</v>
      </c>
      <c r="G32" s="37" t="s">
        <v>119</v>
      </c>
      <c r="H32" s="38" t="s">
        <v>19</v>
      </c>
      <c r="I32" s="38">
        <v>45806</v>
      </c>
      <c r="J32" s="73" t="s">
        <v>104</v>
      </c>
      <c r="K32" s="73"/>
      <c r="L32" s="74"/>
      <c r="M32" s="110" t="s">
        <v>177</v>
      </c>
      <c r="N32" s="111"/>
      <c r="O32" s="112"/>
      <c r="P32" s="39" t="s">
        <v>68</v>
      </c>
      <c r="Q32" s="39" t="s">
        <v>68</v>
      </c>
      <c r="R32" s="110" t="s">
        <v>375</v>
      </c>
      <c r="S32" s="116"/>
      <c r="T32" s="50" t="s">
        <v>73</v>
      </c>
      <c r="U32" s="71">
        <v>45962</v>
      </c>
      <c r="V32" s="59">
        <v>45971</v>
      </c>
      <c r="W32" s="40">
        <v>1</v>
      </c>
      <c r="X32" s="105" t="s">
        <v>194</v>
      </c>
      <c r="Y32" s="106"/>
      <c r="Z32" s="107"/>
      <c r="AA32" s="77" t="s">
        <v>220</v>
      </c>
      <c r="AB32" s="78" t="s">
        <v>220</v>
      </c>
      <c r="AC32" s="38" t="s">
        <v>374</v>
      </c>
      <c r="AD32" s="38" t="s">
        <v>407</v>
      </c>
      <c r="AE32" s="38"/>
      <c r="AF32" s="40"/>
      <c r="AG32" s="38"/>
      <c r="AH32" s="38"/>
      <c r="AI32" s="38" t="s">
        <v>68</v>
      </c>
      <c r="AJ32" s="38" t="s">
        <v>68</v>
      </c>
      <c r="AK32" s="38" t="s">
        <v>237</v>
      </c>
      <c r="AL32" s="38"/>
      <c r="AM32" s="38"/>
      <c r="AN32" s="38"/>
    </row>
    <row r="33" spans="1:40" s="62" customFormat="1" ht="68.25" customHeight="1" x14ac:dyDescent="0.2">
      <c r="A33" s="72">
        <f t="shared" si="2"/>
        <v>20</v>
      </c>
      <c r="B33" s="56" t="s">
        <v>85</v>
      </c>
      <c r="C33" s="56" t="s">
        <v>9</v>
      </c>
      <c r="D33" s="57" t="s">
        <v>86</v>
      </c>
      <c r="E33" s="57" t="s">
        <v>146</v>
      </c>
      <c r="F33" s="56" t="s">
        <v>29</v>
      </c>
      <c r="G33" s="58" t="s">
        <v>120</v>
      </c>
      <c r="H33" s="59" t="s">
        <v>19</v>
      </c>
      <c r="I33" s="59">
        <v>45806</v>
      </c>
      <c r="J33" s="104" t="s">
        <v>105</v>
      </c>
      <c r="K33" s="73"/>
      <c r="L33" s="74"/>
      <c r="M33" s="104" t="s">
        <v>178</v>
      </c>
      <c r="N33" s="108"/>
      <c r="O33" s="109"/>
      <c r="P33" s="51" t="s">
        <v>68</v>
      </c>
      <c r="Q33" s="51" t="s">
        <v>68</v>
      </c>
      <c r="R33" s="104" t="s">
        <v>203</v>
      </c>
      <c r="S33" s="74"/>
      <c r="T33" s="51" t="s">
        <v>73</v>
      </c>
      <c r="U33" s="71">
        <v>45962</v>
      </c>
      <c r="V33" s="59">
        <v>45968</v>
      </c>
      <c r="W33" s="61">
        <v>0.4</v>
      </c>
      <c r="X33" s="122" t="s">
        <v>195</v>
      </c>
      <c r="Y33" s="123"/>
      <c r="Z33" s="124"/>
      <c r="AA33" s="75" t="s">
        <v>221</v>
      </c>
      <c r="AB33" s="76" t="s">
        <v>221</v>
      </c>
      <c r="AC33" s="59" t="s">
        <v>374</v>
      </c>
      <c r="AD33" s="59"/>
      <c r="AE33" s="59"/>
      <c r="AF33" s="61"/>
      <c r="AG33" s="59"/>
      <c r="AH33" s="59"/>
      <c r="AI33" s="59" t="s">
        <v>68</v>
      </c>
      <c r="AJ33" s="59" t="s">
        <v>68</v>
      </c>
      <c r="AK33" s="59" t="s">
        <v>238</v>
      </c>
      <c r="AL33" s="59"/>
      <c r="AM33" s="59"/>
      <c r="AN33" s="59"/>
    </row>
    <row r="34" spans="1:40" s="9" customFormat="1" ht="108.75" customHeight="1" x14ac:dyDescent="0.2">
      <c r="A34" s="55">
        <f t="shared" si="2"/>
        <v>21</v>
      </c>
      <c r="B34" s="34" t="s">
        <v>85</v>
      </c>
      <c r="C34" s="34" t="s">
        <v>9</v>
      </c>
      <c r="D34" s="35" t="s">
        <v>86</v>
      </c>
      <c r="E34" s="35" t="s">
        <v>146</v>
      </c>
      <c r="F34" s="34" t="s">
        <v>29</v>
      </c>
      <c r="G34" s="37" t="s">
        <v>121</v>
      </c>
      <c r="H34" s="38" t="s">
        <v>19</v>
      </c>
      <c r="I34" s="38">
        <v>45806</v>
      </c>
      <c r="J34" s="73" t="s">
        <v>106</v>
      </c>
      <c r="K34" s="73"/>
      <c r="L34" s="74"/>
      <c r="M34" s="110" t="s">
        <v>242</v>
      </c>
      <c r="N34" s="111"/>
      <c r="O34" s="112"/>
      <c r="P34" s="39" t="s">
        <v>68</v>
      </c>
      <c r="Q34" s="39" t="s">
        <v>68</v>
      </c>
      <c r="R34" s="110" t="s">
        <v>269</v>
      </c>
      <c r="S34" s="116"/>
      <c r="T34" s="50" t="s">
        <v>73</v>
      </c>
      <c r="U34" s="38"/>
      <c r="V34" s="38"/>
      <c r="W34" s="40"/>
      <c r="X34" s="105" t="s">
        <v>294</v>
      </c>
      <c r="Y34" s="106"/>
      <c r="Z34" s="107"/>
      <c r="AA34" s="77" t="s">
        <v>321</v>
      </c>
      <c r="AB34" s="78" t="s">
        <v>321</v>
      </c>
      <c r="AC34" s="38"/>
      <c r="AD34" s="38"/>
      <c r="AE34" s="38"/>
      <c r="AF34" s="40"/>
      <c r="AG34" s="38"/>
      <c r="AH34" s="38"/>
      <c r="AI34" s="38" t="s">
        <v>68</v>
      </c>
      <c r="AJ34" s="38" t="s">
        <v>68</v>
      </c>
      <c r="AK34" s="38"/>
      <c r="AL34" s="38" t="s">
        <v>68</v>
      </c>
      <c r="AM34" s="38"/>
      <c r="AN34" s="38"/>
    </row>
    <row r="35" spans="1:40" s="62" customFormat="1" ht="60" customHeight="1" x14ac:dyDescent="0.2">
      <c r="A35" s="41">
        <f t="shared" si="2"/>
        <v>22</v>
      </c>
      <c r="B35" s="56" t="s">
        <v>85</v>
      </c>
      <c r="C35" s="56" t="s">
        <v>9</v>
      </c>
      <c r="D35" s="60" t="s">
        <v>86</v>
      </c>
      <c r="E35" s="60" t="s">
        <v>146</v>
      </c>
      <c r="F35" s="56" t="s">
        <v>32</v>
      </c>
      <c r="G35" s="58" t="s">
        <v>122</v>
      </c>
      <c r="H35" s="59" t="s">
        <v>19</v>
      </c>
      <c r="I35" s="59">
        <v>45806</v>
      </c>
      <c r="J35" s="73" t="s">
        <v>100</v>
      </c>
      <c r="K35" s="73"/>
      <c r="L35" s="74"/>
      <c r="M35" s="104" t="s">
        <v>243</v>
      </c>
      <c r="N35" s="108" t="s">
        <v>243</v>
      </c>
      <c r="O35" s="109" t="s">
        <v>243</v>
      </c>
      <c r="P35" s="52" t="s">
        <v>68</v>
      </c>
      <c r="Q35" s="52" t="s">
        <v>68</v>
      </c>
      <c r="R35" s="104" t="s">
        <v>270</v>
      </c>
      <c r="S35" s="74"/>
      <c r="T35" s="52" t="s">
        <v>376</v>
      </c>
      <c r="U35" s="59" t="s">
        <v>377</v>
      </c>
      <c r="V35" s="59"/>
      <c r="W35" s="61">
        <v>1</v>
      </c>
      <c r="X35" s="122" t="s">
        <v>295</v>
      </c>
      <c r="Y35" s="123"/>
      <c r="Z35" s="124"/>
      <c r="AA35" s="75" t="s">
        <v>322</v>
      </c>
      <c r="AB35" s="76" t="s">
        <v>322</v>
      </c>
      <c r="AC35" s="59"/>
      <c r="AD35" s="59"/>
      <c r="AE35" s="59"/>
      <c r="AF35" s="61"/>
      <c r="AG35" s="59"/>
      <c r="AH35" s="59"/>
      <c r="AI35" s="59" t="s">
        <v>68</v>
      </c>
      <c r="AJ35" s="59" t="s">
        <v>68</v>
      </c>
      <c r="AK35" s="59"/>
      <c r="AL35" s="59" t="s">
        <v>68</v>
      </c>
      <c r="AM35" s="59"/>
      <c r="AN35" s="59"/>
    </row>
    <row r="36" spans="1:40" s="62" customFormat="1" ht="51" customHeight="1" x14ac:dyDescent="0.2">
      <c r="A36" s="41">
        <f t="shared" si="2"/>
        <v>23</v>
      </c>
      <c r="B36" s="56" t="s">
        <v>85</v>
      </c>
      <c r="C36" s="56" t="s">
        <v>9</v>
      </c>
      <c r="D36" s="60" t="s">
        <v>86</v>
      </c>
      <c r="E36" s="60" t="s">
        <v>146</v>
      </c>
      <c r="F36" s="56" t="s">
        <v>32</v>
      </c>
      <c r="G36" s="58" t="s">
        <v>123</v>
      </c>
      <c r="H36" s="59" t="s">
        <v>19</v>
      </c>
      <c r="I36" s="59">
        <v>45806</v>
      </c>
      <c r="J36" s="73" t="s">
        <v>101</v>
      </c>
      <c r="K36" s="73"/>
      <c r="L36" s="74"/>
      <c r="M36" s="104" t="s">
        <v>244</v>
      </c>
      <c r="N36" s="108" t="s">
        <v>244</v>
      </c>
      <c r="O36" s="109" t="s">
        <v>244</v>
      </c>
      <c r="P36" s="52" t="s">
        <v>68</v>
      </c>
      <c r="Q36" s="52" t="s">
        <v>68</v>
      </c>
      <c r="R36" s="104" t="s">
        <v>271</v>
      </c>
      <c r="S36" s="74"/>
      <c r="T36" s="52" t="s">
        <v>379</v>
      </c>
      <c r="U36" s="52" t="s">
        <v>378</v>
      </c>
      <c r="V36" s="59"/>
      <c r="W36" s="61">
        <v>1</v>
      </c>
      <c r="X36" s="122" t="s">
        <v>296</v>
      </c>
      <c r="Y36" s="123"/>
      <c r="Z36" s="124"/>
      <c r="AA36" s="75" t="s">
        <v>323</v>
      </c>
      <c r="AB36" s="76" t="s">
        <v>323</v>
      </c>
      <c r="AC36" s="59" t="s">
        <v>73</v>
      </c>
      <c r="AD36" s="71">
        <v>45901</v>
      </c>
      <c r="AE36" s="59">
        <v>45917</v>
      </c>
      <c r="AF36" s="61">
        <v>1</v>
      </c>
      <c r="AG36" s="59">
        <v>45917</v>
      </c>
      <c r="AH36" s="59">
        <v>45917</v>
      </c>
      <c r="AI36" s="59" t="s">
        <v>68</v>
      </c>
      <c r="AJ36" s="59" t="s">
        <v>68</v>
      </c>
      <c r="AK36" s="59"/>
      <c r="AL36" s="59"/>
      <c r="AM36" s="59"/>
      <c r="AN36" s="59">
        <v>45917</v>
      </c>
    </row>
    <row r="37" spans="1:40" s="9" customFormat="1" ht="77.25" customHeight="1" x14ac:dyDescent="0.2">
      <c r="A37" s="48">
        <f t="shared" si="2"/>
        <v>24</v>
      </c>
      <c r="B37" s="34" t="s">
        <v>85</v>
      </c>
      <c r="C37" s="34" t="s">
        <v>9</v>
      </c>
      <c r="D37" s="35" t="s">
        <v>86</v>
      </c>
      <c r="E37" s="35" t="s">
        <v>146</v>
      </c>
      <c r="F37" s="34" t="s">
        <v>32</v>
      </c>
      <c r="G37" s="37" t="s">
        <v>124</v>
      </c>
      <c r="H37" s="38" t="s">
        <v>19</v>
      </c>
      <c r="I37" s="38">
        <v>45806</v>
      </c>
      <c r="J37" s="73" t="s">
        <v>102</v>
      </c>
      <c r="K37" s="73"/>
      <c r="L37" s="74"/>
      <c r="M37" s="110" t="s">
        <v>245</v>
      </c>
      <c r="N37" s="111" t="s">
        <v>245</v>
      </c>
      <c r="O37" s="112" t="s">
        <v>245</v>
      </c>
      <c r="P37" s="39" t="s">
        <v>68</v>
      </c>
      <c r="Q37" s="39" t="s">
        <v>68</v>
      </c>
      <c r="R37" s="110" t="s">
        <v>272</v>
      </c>
      <c r="S37" s="116"/>
      <c r="T37" s="50" t="s">
        <v>380</v>
      </c>
      <c r="U37" s="38"/>
      <c r="V37" s="38"/>
      <c r="W37" s="40"/>
      <c r="X37" s="105" t="s">
        <v>297</v>
      </c>
      <c r="Y37" s="106"/>
      <c r="Z37" s="107"/>
      <c r="AA37" s="77" t="s">
        <v>324</v>
      </c>
      <c r="AB37" s="78" t="s">
        <v>324</v>
      </c>
      <c r="AC37" s="38" t="s">
        <v>374</v>
      </c>
      <c r="AD37" s="38"/>
      <c r="AE37" s="38"/>
      <c r="AF37" s="40"/>
      <c r="AG37" s="38"/>
      <c r="AH37" s="38"/>
      <c r="AI37" s="38" t="s">
        <v>68</v>
      </c>
      <c r="AJ37" s="38" t="s">
        <v>68</v>
      </c>
      <c r="AK37" s="38"/>
      <c r="AL37" s="38"/>
      <c r="AM37" s="38"/>
      <c r="AN37" s="38"/>
    </row>
    <row r="38" spans="1:40" s="9" customFormat="1" ht="88.5" customHeight="1" x14ac:dyDescent="0.2">
      <c r="A38" s="48">
        <f t="shared" si="2"/>
        <v>25</v>
      </c>
      <c r="B38" s="34" t="s">
        <v>85</v>
      </c>
      <c r="C38" s="34" t="s">
        <v>9</v>
      </c>
      <c r="D38" s="35" t="s">
        <v>86</v>
      </c>
      <c r="E38" s="35" t="s">
        <v>146</v>
      </c>
      <c r="F38" s="34" t="s">
        <v>32</v>
      </c>
      <c r="G38" s="37" t="s">
        <v>125</v>
      </c>
      <c r="H38" s="38" t="s">
        <v>19</v>
      </c>
      <c r="I38" s="38">
        <v>45806</v>
      </c>
      <c r="J38" s="73" t="s">
        <v>90</v>
      </c>
      <c r="K38" s="73"/>
      <c r="L38" s="74"/>
      <c r="M38" s="110" t="s">
        <v>246</v>
      </c>
      <c r="N38" s="111" t="s">
        <v>246</v>
      </c>
      <c r="O38" s="112" t="s">
        <v>246</v>
      </c>
      <c r="P38" s="39" t="s">
        <v>68</v>
      </c>
      <c r="Q38" s="39" t="s">
        <v>68</v>
      </c>
      <c r="R38" s="110" t="s">
        <v>273</v>
      </c>
      <c r="S38" s="116"/>
      <c r="T38" s="50" t="s">
        <v>380</v>
      </c>
      <c r="U38" s="38" t="s">
        <v>381</v>
      </c>
      <c r="V38" s="38"/>
      <c r="W38" s="40"/>
      <c r="X38" s="105" t="s">
        <v>298</v>
      </c>
      <c r="Y38" s="106"/>
      <c r="Z38" s="107"/>
      <c r="AA38" s="77" t="s">
        <v>325</v>
      </c>
      <c r="AB38" s="78" t="s">
        <v>325</v>
      </c>
      <c r="AC38" s="38" t="s">
        <v>374</v>
      </c>
      <c r="AD38" s="38"/>
      <c r="AE38" s="38"/>
      <c r="AF38" s="40"/>
      <c r="AG38" s="38"/>
      <c r="AH38" s="38"/>
      <c r="AI38" s="38" t="s">
        <v>68</v>
      </c>
      <c r="AJ38" s="38" t="s">
        <v>68</v>
      </c>
      <c r="AK38" s="38" t="s">
        <v>68</v>
      </c>
      <c r="AL38" s="38"/>
      <c r="AM38" s="38"/>
      <c r="AN38" s="38"/>
    </row>
    <row r="39" spans="1:40" s="62" customFormat="1" ht="51.75" customHeight="1" x14ac:dyDescent="0.2">
      <c r="A39" s="41">
        <f t="shared" si="2"/>
        <v>26</v>
      </c>
      <c r="B39" s="56" t="s">
        <v>85</v>
      </c>
      <c r="C39" s="56" t="s">
        <v>9</v>
      </c>
      <c r="D39" s="60" t="s">
        <v>86</v>
      </c>
      <c r="E39" s="60" t="s">
        <v>146</v>
      </c>
      <c r="F39" s="56" t="s">
        <v>32</v>
      </c>
      <c r="G39" s="58" t="s">
        <v>126</v>
      </c>
      <c r="H39" s="59" t="s">
        <v>19</v>
      </c>
      <c r="I39" s="59">
        <v>45806</v>
      </c>
      <c r="J39" s="73" t="s">
        <v>103</v>
      </c>
      <c r="K39" s="73"/>
      <c r="L39" s="74"/>
      <c r="M39" s="104" t="s">
        <v>247</v>
      </c>
      <c r="N39" s="108"/>
      <c r="O39" s="109"/>
      <c r="P39" s="52" t="s">
        <v>68</v>
      </c>
      <c r="Q39" s="52" t="s">
        <v>68</v>
      </c>
      <c r="R39" s="104" t="s">
        <v>274</v>
      </c>
      <c r="S39" s="74"/>
      <c r="T39" s="52" t="s">
        <v>73</v>
      </c>
      <c r="U39" s="71">
        <v>45901</v>
      </c>
      <c r="V39" s="59">
        <v>45917</v>
      </c>
      <c r="W39" s="61">
        <v>1</v>
      </c>
      <c r="X39" s="122" t="s">
        <v>299</v>
      </c>
      <c r="Y39" s="123"/>
      <c r="Z39" s="124"/>
      <c r="AA39" s="75" t="s">
        <v>326</v>
      </c>
      <c r="AB39" s="76" t="s">
        <v>326</v>
      </c>
      <c r="AC39" s="59" t="s">
        <v>73</v>
      </c>
      <c r="AD39" s="71">
        <v>45901</v>
      </c>
      <c r="AE39" s="59">
        <v>45917</v>
      </c>
      <c r="AF39" s="61">
        <v>1</v>
      </c>
      <c r="AG39" s="59">
        <v>45917</v>
      </c>
      <c r="AH39" s="59">
        <v>45917</v>
      </c>
      <c r="AI39" s="59" t="s">
        <v>68</v>
      </c>
      <c r="AJ39" s="59" t="s">
        <v>68</v>
      </c>
      <c r="AK39" s="59"/>
      <c r="AL39" s="59" t="s">
        <v>68</v>
      </c>
      <c r="AM39" s="59"/>
      <c r="AN39" s="59">
        <v>45917</v>
      </c>
    </row>
    <row r="40" spans="1:40" s="62" customFormat="1" ht="156" customHeight="1" x14ac:dyDescent="0.2">
      <c r="A40" s="41">
        <f t="shared" si="2"/>
        <v>27</v>
      </c>
      <c r="B40" s="56" t="s">
        <v>85</v>
      </c>
      <c r="C40" s="56" t="s">
        <v>9</v>
      </c>
      <c r="D40" s="60" t="s">
        <v>86</v>
      </c>
      <c r="E40" s="60" t="s">
        <v>146</v>
      </c>
      <c r="F40" s="56" t="s">
        <v>84</v>
      </c>
      <c r="G40" s="58" t="s">
        <v>127</v>
      </c>
      <c r="H40" s="59" t="s">
        <v>19</v>
      </c>
      <c r="I40" s="59">
        <v>45807</v>
      </c>
      <c r="J40" s="73" t="s">
        <v>107</v>
      </c>
      <c r="K40" s="73"/>
      <c r="L40" s="74"/>
      <c r="M40" s="104" t="s">
        <v>248</v>
      </c>
      <c r="N40" s="108"/>
      <c r="O40" s="109"/>
      <c r="P40" s="52" t="s">
        <v>68</v>
      </c>
      <c r="Q40" s="52" t="s">
        <v>68</v>
      </c>
      <c r="R40" s="104" t="s">
        <v>275</v>
      </c>
      <c r="S40" s="74"/>
      <c r="T40" s="52" t="s">
        <v>73</v>
      </c>
      <c r="U40" s="59">
        <v>45838</v>
      </c>
      <c r="V40" s="59">
        <v>45838</v>
      </c>
      <c r="W40" s="61">
        <v>1</v>
      </c>
      <c r="X40" s="122" t="s">
        <v>300</v>
      </c>
      <c r="Y40" s="123"/>
      <c r="Z40" s="124"/>
      <c r="AA40" s="75" t="s">
        <v>327</v>
      </c>
      <c r="AB40" s="76" t="s">
        <v>327</v>
      </c>
      <c r="AC40" s="59" t="s">
        <v>73</v>
      </c>
      <c r="AD40" s="59" t="s">
        <v>241</v>
      </c>
      <c r="AE40" s="59">
        <v>45890</v>
      </c>
      <c r="AF40" s="61">
        <v>1</v>
      </c>
      <c r="AG40" s="59">
        <v>45921</v>
      </c>
      <c r="AH40" s="59">
        <v>45921</v>
      </c>
      <c r="AI40" s="59" t="s">
        <v>68</v>
      </c>
      <c r="AJ40" s="59" t="s">
        <v>68</v>
      </c>
      <c r="AK40" s="59"/>
      <c r="AL40" s="59" t="s">
        <v>68</v>
      </c>
      <c r="AM40" s="59"/>
      <c r="AN40" s="59">
        <v>45921</v>
      </c>
    </row>
    <row r="41" spans="1:40" s="62" customFormat="1" ht="56.25" customHeight="1" x14ac:dyDescent="0.2">
      <c r="A41" s="41">
        <f t="shared" si="2"/>
        <v>28</v>
      </c>
      <c r="B41" s="56" t="s">
        <v>85</v>
      </c>
      <c r="C41" s="56" t="s">
        <v>9</v>
      </c>
      <c r="D41" s="60" t="s">
        <v>86</v>
      </c>
      <c r="E41" s="60" t="s">
        <v>146</v>
      </c>
      <c r="F41" s="56" t="s">
        <v>84</v>
      </c>
      <c r="G41" s="58" t="s">
        <v>128</v>
      </c>
      <c r="H41" s="59" t="s">
        <v>19</v>
      </c>
      <c r="I41" s="59">
        <v>45807</v>
      </c>
      <c r="J41" s="73" t="s">
        <v>389</v>
      </c>
      <c r="K41" s="73"/>
      <c r="L41" s="74"/>
      <c r="M41" s="104" t="s">
        <v>249</v>
      </c>
      <c r="N41" s="108" t="s">
        <v>249</v>
      </c>
      <c r="O41" s="109" t="s">
        <v>249</v>
      </c>
      <c r="P41" s="52" t="s">
        <v>68</v>
      </c>
      <c r="Q41" s="52" t="s">
        <v>68</v>
      </c>
      <c r="R41" s="104" t="s">
        <v>276</v>
      </c>
      <c r="S41" s="74"/>
      <c r="T41" s="52" t="s">
        <v>73</v>
      </c>
      <c r="U41" s="59" t="s">
        <v>147</v>
      </c>
      <c r="V41" s="59">
        <v>45828</v>
      </c>
      <c r="W41" s="61">
        <v>1</v>
      </c>
      <c r="X41" s="122" t="s">
        <v>301</v>
      </c>
      <c r="Y41" s="123"/>
      <c r="Z41" s="124"/>
      <c r="AA41" s="75" t="s">
        <v>328</v>
      </c>
      <c r="AB41" s="76" t="s">
        <v>328</v>
      </c>
      <c r="AC41" s="59"/>
      <c r="AD41" s="59"/>
      <c r="AE41" s="59"/>
      <c r="AF41" s="61"/>
      <c r="AG41" s="59"/>
      <c r="AH41" s="59"/>
      <c r="AI41" s="59" t="s">
        <v>68</v>
      </c>
      <c r="AJ41" s="59" t="s">
        <v>68</v>
      </c>
      <c r="AK41" s="59"/>
      <c r="AL41" s="59" t="s">
        <v>68</v>
      </c>
      <c r="AM41" s="59"/>
      <c r="AN41" s="59"/>
    </row>
    <row r="42" spans="1:40" s="9" customFormat="1" ht="75" customHeight="1" x14ac:dyDescent="0.2">
      <c r="A42" s="55">
        <f t="shared" si="2"/>
        <v>29</v>
      </c>
      <c r="B42" s="34" t="s">
        <v>85</v>
      </c>
      <c r="C42" s="34" t="s">
        <v>9</v>
      </c>
      <c r="D42" s="35" t="s">
        <v>86</v>
      </c>
      <c r="E42" s="35" t="s">
        <v>146</v>
      </c>
      <c r="F42" s="34" t="s">
        <v>84</v>
      </c>
      <c r="G42" s="37" t="s">
        <v>129</v>
      </c>
      <c r="H42" s="38" t="s">
        <v>19</v>
      </c>
      <c r="I42" s="38">
        <v>45807</v>
      </c>
      <c r="J42" s="73" t="s">
        <v>390</v>
      </c>
      <c r="K42" s="73"/>
      <c r="L42" s="74"/>
      <c r="M42" s="110" t="s">
        <v>250</v>
      </c>
      <c r="N42" s="111" t="s">
        <v>250</v>
      </c>
      <c r="O42" s="112" t="s">
        <v>250</v>
      </c>
      <c r="P42" s="39" t="s">
        <v>68</v>
      </c>
      <c r="Q42" s="39" t="s">
        <v>68</v>
      </c>
      <c r="R42" s="110" t="s">
        <v>277</v>
      </c>
      <c r="S42" s="116"/>
      <c r="T42" s="39"/>
      <c r="U42" s="38"/>
      <c r="V42" s="38"/>
      <c r="W42" s="40"/>
      <c r="X42" s="105" t="s">
        <v>302</v>
      </c>
      <c r="Y42" s="106"/>
      <c r="Z42" s="107"/>
      <c r="AA42" s="77" t="s">
        <v>329</v>
      </c>
      <c r="AB42" s="78" t="s">
        <v>329</v>
      </c>
      <c r="AC42" s="38"/>
      <c r="AD42" s="38"/>
      <c r="AE42" s="38"/>
      <c r="AF42" s="40"/>
      <c r="AG42" s="38"/>
      <c r="AH42" s="38"/>
      <c r="AI42" s="38" t="s">
        <v>68</v>
      </c>
      <c r="AJ42" s="38" t="s">
        <v>68</v>
      </c>
      <c r="AK42" s="38"/>
      <c r="AL42" s="38" t="s">
        <v>68</v>
      </c>
      <c r="AM42" s="38"/>
      <c r="AN42" s="38"/>
    </row>
    <row r="43" spans="1:40" s="62" customFormat="1" ht="89.25" customHeight="1" x14ac:dyDescent="0.2">
      <c r="A43" s="41">
        <f t="shared" si="2"/>
        <v>30</v>
      </c>
      <c r="B43" s="56" t="s">
        <v>85</v>
      </c>
      <c r="C43" s="56" t="s">
        <v>9</v>
      </c>
      <c r="D43" s="60" t="s">
        <v>86</v>
      </c>
      <c r="E43" s="60" t="s">
        <v>146</v>
      </c>
      <c r="F43" s="56" t="s">
        <v>84</v>
      </c>
      <c r="G43" s="58" t="s">
        <v>130</v>
      </c>
      <c r="H43" s="59" t="s">
        <v>19</v>
      </c>
      <c r="I43" s="59">
        <v>45807</v>
      </c>
      <c r="J43" s="73" t="s">
        <v>382</v>
      </c>
      <c r="K43" s="73"/>
      <c r="L43" s="74"/>
      <c r="M43" s="104" t="s">
        <v>251</v>
      </c>
      <c r="N43" s="108" t="s">
        <v>251</v>
      </c>
      <c r="O43" s="109" t="s">
        <v>251</v>
      </c>
      <c r="P43" s="52" t="s">
        <v>68</v>
      </c>
      <c r="Q43" s="52" t="s">
        <v>68</v>
      </c>
      <c r="R43" s="104" t="s">
        <v>278</v>
      </c>
      <c r="S43" s="74"/>
      <c r="T43" s="52" t="s">
        <v>73</v>
      </c>
      <c r="U43" s="59" t="s">
        <v>383</v>
      </c>
      <c r="V43" s="59" t="s">
        <v>383</v>
      </c>
      <c r="W43" s="61">
        <v>1</v>
      </c>
      <c r="X43" s="122" t="s">
        <v>303</v>
      </c>
      <c r="Y43" s="123"/>
      <c r="Z43" s="124"/>
      <c r="AA43" s="75" t="s">
        <v>330</v>
      </c>
      <c r="AB43" s="76" t="s">
        <v>330</v>
      </c>
      <c r="AC43" s="59" t="s">
        <v>73</v>
      </c>
      <c r="AD43" s="59" t="s">
        <v>383</v>
      </c>
      <c r="AE43" s="59" t="s">
        <v>383</v>
      </c>
      <c r="AF43" s="61">
        <v>1</v>
      </c>
      <c r="AG43" s="59" t="s">
        <v>384</v>
      </c>
      <c r="AH43" s="59">
        <v>45848</v>
      </c>
      <c r="AI43" s="59" t="s">
        <v>68</v>
      </c>
      <c r="AJ43" s="59" t="s">
        <v>68</v>
      </c>
      <c r="AK43" s="59"/>
      <c r="AL43" s="59" t="s">
        <v>68</v>
      </c>
      <c r="AM43" s="59"/>
      <c r="AN43" s="59">
        <v>45848</v>
      </c>
    </row>
    <row r="44" spans="1:40" s="9" customFormat="1" ht="41.25" customHeight="1" x14ac:dyDescent="0.2">
      <c r="A44" s="55">
        <f t="shared" si="2"/>
        <v>31</v>
      </c>
      <c r="B44" s="34" t="s">
        <v>85</v>
      </c>
      <c r="C44" s="34" t="s">
        <v>9</v>
      </c>
      <c r="D44" s="35" t="s">
        <v>86</v>
      </c>
      <c r="E44" s="35" t="s">
        <v>146</v>
      </c>
      <c r="F44" s="34" t="s">
        <v>84</v>
      </c>
      <c r="G44" s="37" t="s">
        <v>131</v>
      </c>
      <c r="H44" s="38" t="s">
        <v>19</v>
      </c>
      <c r="I44" s="38">
        <v>45807</v>
      </c>
      <c r="J44" s="73" t="s">
        <v>87</v>
      </c>
      <c r="K44" s="73"/>
      <c r="L44" s="74"/>
      <c r="M44" s="110" t="s">
        <v>252</v>
      </c>
      <c r="N44" s="111" t="s">
        <v>252</v>
      </c>
      <c r="O44" s="112" t="s">
        <v>252</v>
      </c>
      <c r="P44" s="39" t="s">
        <v>68</v>
      </c>
      <c r="Q44" s="39" t="s">
        <v>68</v>
      </c>
      <c r="R44" s="110" t="s">
        <v>279</v>
      </c>
      <c r="S44" s="116"/>
      <c r="T44" s="39"/>
      <c r="U44" s="38"/>
      <c r="V44" s="38"/>
      <c r="W44" s="40"/>
      <c r="X44" s="105" t="s">
        <v>304</v>
      </c>
      <c r="Y44" s="106"/>
      <c r="Z44" s="107"/>
      <c r="AA44" s="77" t="s">
        <v>331</v>
      </c>
      <c r="AB44" s="78" t="s">
        <v>331</v>
      </c>
      <c r="AC44" s="38"/>
      <c r="AD44" s="38"/>
      <c r="AE44" s="38"/>
      <c r="AF44" s="40"/>
      <c r="AG44" s="38"/>
      <c r="AH44" s="38"/>
      <c r="AI44" s="38" t="s">
        <v>68</v>
      </c>
      <c r="AJ44" s="38" t="s">
        <v>68</v>
      </c>
      <c r="AK44" s="38" t="s">
        <v>68</v>
      </c>
      <c r="AL44" s="38"/>
      <c r="AM44" s="38"/>
      <c r="AN44" s="38"/>
    </row>
    <row r="45" spans="1:40" s="62" customFormat="1" ht="65.25" customHeight="1" x14ac:dyDescent="0.2">
      <c r="A45" s="41">
        <f t="shared" si="2"/>
        <v>32</v>
      </c>
      <c r="B45" s="56" t="s">
        <v>85</v>
      </c>
      <c r="C45" s="56" t="s">
        <v>9</v>
      </c>
      <c r="D45" s="60" t="s">
        <v>86</v>
      </c>
      <c r="E45" s="60" t="s">
        <v>146</v>
      </c>
      <c r="F45" s="56" t="s">
        <v>84</v>
      </c>
      <c r="G45" s="58" t="s">
        <v>132</v>
      </c>
      <c r="H45" s="59" t="s">
        <v>19</v>
      </c>
      <c r="I45" s="59">
        <v>45807</v>
      </c>
      <c r="J45" s="73" t="s">
        <v>385</v>
      </c>
      <c r="K45" s="73"/>
      <c r="L45" s="74"/>
      <c r="M45" s="104" t="s">
        <v>253</v>
      </c>
      <c r="N45" s="108" t="s">
        <v>253</v>
      </c>
      <c r="O45" s="109" t="s">
        <v>253</v>
      </c>
      <c r="P45" s="52" t="s">
        <v>68</v>
      </c>
      <c r="Q45" s="52" t="s">
        <v>68</v>
      </c>
      <c r="R45" s="104" t="s">
        <v>386</v>
      </c>
      <c r="S45" s="74"/>
      <c r="T45" s="52" t="s">
        <v>73</v>
      </c>
      <c r="U45" s="59">
        <v>45813</v>
      </c>
      <c r="V45" s="59">
        <v>45813</v>
      </c>
      <c r="W45" s="61">
        <v>1</v>
      </c>
      <c r="X45" s="122" t="s">
        <v>305</v>
      </c>
      <c r="Y45" s="123"/>
      <c r="Z45" s="124"/>
      <c r="AA45" s="75" t="s">
        <v>387</v>
      </c>
      <c r="AB45" s="76" t="s">
        <v>332</v>
      </c>
      <c r="AC45" s="59" t="s">
        <v>73</v>
      </c>
      <c r="AD45" s="59" t="s">
        <v>388</v>
      </c>
      <c r="AE45" s="59"/>
      <c r="AF45" s="61"/>
      <c r="AG45" s="59"/>
      <c r="AH45" s="59"/>
      <c r="AI45" s="59" t="s">
        <v>68</v>
      </c>
      <c r="AJ45" s="59" t="s">
        <v>68</v>
      </c>
      <c r="AK45" s="59"/>
      <c r="AL45" s="59" t="s">
        <v>68</v>
      </c>
      <c r="AM45" s="59"/>
      <c r="AN45" s="59"/>
    </row>
    <row r="46" spans="1:40" s="9" customFormat="1" ht="66.75" customHeight="1" x14ac:dyDescent="0.2">
      <c r="A46" s="55">
        <f t="shared" si="2"/>
        <v>33</v>
      </c>
      <c r="B46" s="34" t="s">
        <v>85</v>
      </c>
      <c r="C46" s="34" t="s">
        <v>9</v>
      </c>
      <c r="D46" s="35" t="s">
        <v>86</v>
      </c>
      <c r="E46" s="35" t="s">
        <v>146</v>
      </c>
      <c r="F46" s="34" t="s">
        <v>84</v>
      </c>
      <c r="G46" s="37" t="s">
        <v>133</v>
      </c>
      <c r="H46" s="38" t="s">
        <v>19</v>
      </c>
      <c r="I46" s="38">
        <v>45807</v>
      </c>
      <c r="J46" s="73" t="s">
        <v>391</v>
      </c>
      <c r="K46" s="73"/>
      <c r="L46" s="74"/>
      <c r="M46" s="110" t="s">
        <v>254</v>
      </c>
      <c r="N46" s="111" t="s">
        <v>254</v>
      </c>
      <c r="O46" s="112" t="s">
        <v>254</v>
      </c>
      <c r="P46" s="39" t="s">
        <v>68</v>
      </c>
      <c r="Q46" s="39" t="s">
        <v>68</v>
      </c>
      <c r="R46" s="110" t="s">
        <v>280</v>
      </c>
      <c r="S46" s="116"/>
      <c r="T46" s="50" t="s">
        <v>73</v>
      </c>
      <c r="U46" s="38"/>
      <c r="V46" s="38"/>
      <c r="W46" s="40"/>
      <c r="X46" s="105" t="s">
        <v>306</v>
      </c>
      <c r="Y46" s="106"/>
      <c r="Z46" s="107"/>
      <c r="AA46" s="77" t="s">
        <v>333</v>
      </c>
      <c r="AB46" s="78" t="s">
        <v>333</v>
      </c>
      <c r="AC46" s="38"/>
      <c r="AD46" s="38"/>
      <c r="AE46" s="38"/>
      <c r="AF46" s="40"/>
      <c r="AG46" s="38"/>
      <c r="AH46" s="38"/>
      <c r="AI46" s="38" t="s">
        <v>68</v>
      </c>
      <c r="AJ46" s="38" t="s">
        <v>68</v>
      </c>
      <c r="AK46" s="38"/>
      <c r="AL46" s="38" t="s">
        <v>68</v>
      </c>
      <c r="AM46" s="38"/>
      <c r="AN46" s="38"/>
    </row>
    <row r="47" spans="1:40" s="9" customFormat="1" ht="41.25" customHeight="1" x14ac:dyDescent="0.2">
      <c r="A47" s="48">
        <f t="shared" si="2"/>
        <v>34</v>
      </c>
      <c r="B47" s="34" t="s">
        <v>85</v>
      </c>
      <c r="C47" s="34" t="s">
        <v>9</v>
      </c>
      <c r="D47" s="35" t="s">
        <v>86</v>
      </c>
      <c r="E47" s="35" t="s">
        <v>146</v>
      </c>
      <c r="F47" s="34" t="s">
        <v>84</v>
      </c>
      <c r="G47" s="37" t="s">
        <v>134</v>
      </c>
      <c r="H47" s="38" t="s">
        <v>19</v>
      </c>
      <c r="I47" s="38">
        <v>45807</v>
      </c>
      <c r="J47" s="73" t="s">
        <v>88</v>
      </c>
      <c r="K47" s="73"/>
      <c r="L47" s="74"/>
      <c r="M47" s="110" t="s">
        <v>255</v>
      </c>
      <c r="N47" s="111" t="s">
        <v>255</v>
      </c>
      <c r="O47" s="112" t="s">
        <v>255</v>
      </c>
      <c r="P47" s="39" t="s">
        <v>68</v>
      </c>
      <c r="Q47" s="39" t="s">
        <v>68</v>
      </c>
      <c r="R47" s="110" t="s">
        <v>281</v>
      </c>
      <c r="S47" s="116"/>
      <c r="T47" s="50" t="s">
        <v>73</v>
      </c>
      <c r="U47" s="38" t="s">
        <v>388</v>
      </c>
      <c r="V47" s="38"/>
      <c r="W47" s="40"/>
      <c r="X47" s="105" t="s">
        <v>307</v>
      </c>
      <c r="Y47" s="106"/>
      <c r="Z47" s="107"/>
      <c r="AA47" s="77" t="s">
        <v>334</v>
      </c>
      <c r="AB47" s="78" t="s">
        <v>334</v>
      </c>
      <c r="AC47" s="38" t="s">
        <v>73</v>
      </c>
      <c r="AD47" s="38" t="s">
        <v>388</v>
      </c>
      <c r="AE47" s="38"/>
      <c r="AF47" s="40"/>
      <c r="AG47" s="38"/>
      <c r="AH47" s="38"/>
      <c r="AI47" s="38" t="s">
        <v>68</v>
      </c>
      <c r="AJ47" s="38" t="s">
        <v>68</v>
      </c>
      <c r="AK47" s="38"/>
      <c r="AL47" s="38" t="s">
        <v>68</v>
      </c>
      <c r="AM47" s="38"/>
      <c r="AN47" s="38"/>
    </row>
    <row r="48" spans="1:40" s="9" customFormat="1" ht="77.25" customHeight="1" x14ac:dyDescent="0.2">
      <c r="A48" s="48">
        <f t="shared" si="2"/>
        <v>35</v>
      </c>
      <c r="B48" s="34" t="s">
        <v>85</v>
      </c>
      <c r="C48" s="34" t="s">
        <v>9</v>
      </c>
      <c r="D48" s="35" t="s">
        <v>86</v>
      </c>
      <c r="E48" s="35" t="s">
        <v>146</v>
      </c>
      <c r="F48" s="34" t="s">
        <v>84</v>
      </c>
      <c r="G48" s="37" t="s">
        <v>135</v>
      </c>
      <c r="H48" s="38" t="s">
        <v>19</v>
      </c>
      <c r="I48" s="38">
        <v>45807</v>
      </c>
      <c r="J48" s="73" t="s">
        <v>392</v>
      </c>
      <c r="K48" s="73"/>
      <c r="L48" s="74"/>
      <c r="M48" s="110" t="s">
        <v>256</v>
      </c>
      <c r="N48" s="111" t="s">
        <v>256</v>
      </c>
      <c r="O48" s="112" t="s">
        <v>256</v>
      </c>
      <c r="P48" s="39" t="s">
        <v>68</v>
      </c>
      <c r="Q48" s="39" t="s">
        <v>68</v>
      </c>
      <c r="R48" s="110" t="s">
        <v>282</v>
      </c>
      <c r="S48" s="116"/>
      <c r="T48" s="53" t="s">
        <v>73</v>
      </c>
      <c r="U48" s="38" t="s">
        <v>401</v>
      </c>
      <c r="V48" s="38"/>
      <c r="W48" s="40"/>
      <c r="X48" s="105" t="s">
        <v>308</v>
      </c>
      <c r="Y48" s="106"/>
      <c r="Z48" s="107"/>
      <c r="AA48" s="77" t="s">
        <v>335</v>
      </c>
      <c r="AB48" s="78" t="s">
        <v>335</v>
      </c>
      <c r="AC48" s="38" t="s">
        <v>401</v>
      </c>
      <c r="AD48" s="38"/>
      <c r="AE48" s="38"/>
      <c r="AF48" s="40"/>
      <c r="AG48" s="38"/>
      <c r="AH48" s="38"/>
      <c r="AI48" s="38" t="s">
        <v>68</v>
      </c>
      <c r="AJ48" s="38" t="s">
        <v>68</v>
      </c>
      <c r="AK48" s="38"/>
      <c r="AL48" s="38" t="s">
        <v>68</v>
      </c>
      <c r="AM48" s="38"/>
      <c r="AN48" s="38"/>
    </row>
    <row r="49" spans="1:40" s="9" customFormat="1" ht="87" customHeight="1" x14ac:dyDescent="0.2">
      <c r="A49" s="55">
        <f t="shared" si="2"/>
        <v>36</v>
      </c>
      <c r="B49" s="34" t="s">
        <v>85</v>
      </c>
      <c r="C49" s="34" t="s">
        <v>9</v>
      </c>
      <c r="D49" s="35" t="s">
        <v>86</v>
      </c>
      <c r="E49" s="35" t="s">
        <v>146</v>
      </c>
      <c r="F49" s="34" t="s">
        <v>84</v>
      </c>
      <c r="G49" s="37" t="s">
        <v>136</v>
      </c>
      <c r="H49" s="38" t="s">
        <v>19</v>
      </c>
      <c r="I49" s="38">
        <v>45807</v>
      </c>
      <c r="J49" s="73" t="s">
        <v>393</v>
      </c>
      <c r="K49" s="73"/>
      <c r="L49" s="74"/>
      <c r="M49" s="110" t="s">
        <v>257</v>
      </c>
      <c r="N49" s="111" t="s">
        <v>257</v>
      </c>
      <c r="O49" s="112" t="s">
        <v>257</v>
      </c>
      <c r="P49" s="39" t="s">
        <v>68</v>
      </c>
      <c r="Q49" s="39" t="s">
        <v>68</v>
      </c>
      <c r="R49" s="110" t="s">
        <v>283</v>
      </c>
      <c r="S49" s="116"/>
      <c r="T49" s="53" t="s">
        <v>73</v>
      </c>
      <c r="U49" s="38" t="s">
        <v>402</v>
      </c>
      <c r="V49" s="38"/>
      <c r="W49" s="40"/>
      <c r="X49" s="105" t="s">
        <v>309</v>
      </c>
      <c r="Y49" s="106"/>
      <c r="Z49" s="107"/>
      <c r="AA49" s="77" t="s">
        <v>336</v>
      </c>
      <c r="AB49" s="78" t="s">
        <v>336</v>
      </c>
      <c r="AC49" s="38" t="s">
        <v>402</v>
      </c>
      <c r="AD49" s="38"/>
      <c r="AE49" s="38"/>
      <c r="AF49" s="40"/>
      <c r="AG49" s="38"/>
      <c r="AH49" s="38"/>
      <c r="AI49" s="38" t="s">
        <v>68</v>
      </c>
      <c r="AJ49" s="38" t="s">
        <v>68</v>
      </c>
      <c r="AK49" s="38"/>
      <c r="AL49" s="38" t="s">
        <v>68</v>
      </c>
      <c r="AM49" s="38"/>
      <c r="AN49" s="38"/>
    </row>
    <row r="50" spans="1:40" s="9" customFormat="1" ht="88.5" customHeight="1" x14ac:dyDescent="0.2">
      <c r="A50" s="55">
        <f t="shared" si="2"/>
        <v>37</v>
      </c>
      <c r="B50" s="34" t="s">
        <v>85</v>
      </c>
      <c r="C50" s="34" t="s">
        <v>9</v>
      </c>
      <c r="D50" s="35" t="s">
        <v>86</v>
      </c>
      <c r="E50" s="35" t="s">
        <v>146</v>
      </c>
      <c r="F50" s="34" t="s">
        <v>84</v>
      </c>
      <c r="G50" s="37" t="s">
        <v>137</v>
      </c>
      <c r="H50" s="38" t="s">
        <v>19</v>
      </c>
      <c r="I50" s="38">
        <v>45807</v>
      </c>
      <c r="J50" s="73" t="s">
        <v>394</v>
      </c>
      <c r="K50" s="73"/>
      <c r="L50" s="74"/>
      <c r="M50" s="110" t="s">
        <v>258</v>
      </c>
      <c r="N50" s="111" t="s">
        <v>258</v>
      </c>
      <c r="O50" s="112" t="s">
        <v>258</v>
      </c>
      <c r="P50" s="39" t="s">
        <v>68</v>
      </c>
      <c r="Q50" s="39" t="s">
        <v>68</v>
      </c>
      <c r="R50" s="110" t="s">
        <v>284</v>
      </c>
      <c r="S50" s="116"/>
      <c r="T50" s="53" t="s">
        <v>73</v>
      </c>
      <c r="U50" s="38" t="s">
        <v>403</v>
      </c>
      <c r="V50" s="38"/>
      <c r="W50" s="40"/>
      <c r="X50" s="105" t="s">
        <v>310</v>
      </c>
      <c r="Y50" s="106"/>
      <c r="Z50" s="107"/>
      <c r="AA50" s="77" t="s">
        <v>337</v>
      </c>
      <c r="AB50" s="78" t="s">
        <v>337</v>
      </c>
      <c r="AC50" s="38" t="s">
        <v>403</v>
      </c>
      <c r="AD50" s="38"/>
      <c r="AE50" s="38"/>
      <c r="AF50" s="40"/>
      <c r="AG50" s="38"/>
      <c r="AH50" s="38"/>
      <c r="AI50" s="38" t="s">
        <v>68</v>
      </c>
      <c r="AJ50" s="38" t="s">
        <v>68</v>
      </c>
      <c r="AK50" s="38" t="s">
        <v>68</v>
      </c>
      <c r="AL50" s="38"/>
      <c r="AM50" s="38"/>
      <c r="AN50" s="38"/>
    </row>
    <row r="51" spans="1:40" s="9" customFormat="1" ht="135" customHeight="1" x14ac:dyDescent="0.2">
      <c r="A51" s="48">
        <f t="shared" si="2"/>
        <v>38</v>
      </c>
      <c r="B51" s="34" t="s">
        <v>85</v>
      </c>
      <c r="C51" s="34" t="s">
        <v>9</v>
      </c>
      <c r="D51" s="35" t="s">
        <v>86</v>
      </c>
      <c r="E51" s="35" t="s">
        <v>146</v>
      </c>
      <c r="F51" s="34" t="s">
        <v>84</v>
      </c>
      <c r="G51" s="37" t="s">
        <v>138</v>
      </c>
      <c r="H51" s="38" t="s">
        <v>19</v>
      </c>
      <c r="I51" s="38">
        <v>45807</v>
      </c>
      <c r="J51" s="73" t="s">
        <v>395</v>
      </c>
      <c r="K51" s="73"/>
      <c r="L51" s="74"/>
      <c r="M51" s="110" t="s">
        <v>259</v>
      </c>
      <c r="N51" s="111" t="s">
        <v>259</v>
      </c>
      <c r="O51" s="112" t="s">
        <v>259</v>
      </c>
      <c r="P51" s="39" t="s">
        <v>68</v>
      </c>
      <c r="Q51" s="39" t="s">
        <v>68</v>
      </c>
      <c r="R51" s="110" t="s">
        <v>285</v>
      </c>
      <c r="S51" s="116"/>
      <c r="T51" s="53" t="s">
        <v>374</v>
      </c>
      <c r="U51" s="38" t="s">
        <v>403</v>
      </c>
      <c r="V51" s="38"/>
      <c r="W51" s="40"/>
      <c r="X51" s="105" t="s">
        <v>311</v>
      </c>
      <c r="Y51" s="106"/>
      <c r="Z51" s="107"/>
      <c r="AA51" s="77" t="s">
        <v>338</v>
      </c>
      <c r="AB51" s="78" t="s">
        <v>338</v>
      </c>
      <c r="AC51" s="38"/>
      <c r="AD51" s="38"/>
      <c r="AE51" s="38"/>
      <c r="AF51" s="40"/>
      <c r="AG51" s="38"/>
      <c r="AH51" s="38"/>
      <c r="AI51" s="38" t="s">
        <v>68</v>
      </c>
      <c r="AJ51" s="38" t="s">
        <v>68</v>
      </c>
      <c r="AK51" s="38"/>
      <c r="AL51" s="38" t="s">
        <v>68</v>
      </c>
      <c r="AM51" s="38"/>
      <c r="AN51" s="38"/>
    </row>
    <row r="52" spans="1:40" s="9" customFormat="1" ht="71.25" customHeight="1" x14ac:dyDescent="0.2">
      <c r="A52" s="55">
        <f t="shared" si="2"/>
        <v>39</v>
      </c>
      <c r="B52" s="34" t="s">
        <v>85</v>
      </c>
      <c r="C52" s="34" t="s">
        <v>9</v>
      </c>
      <c r="D52" s="35" t="s">
        <v>86</v>
      </c>
      <c r="E52" s="35" t="s">
        <v>146</v>
      </c>
      <c r="F52" s="34" t="s">
        <v>84</v>
      </c>
      <c r="G52" s="37" t="s">
        <v>139</v>
      </c>
      <c r="H52" s="38" t="s">
        <v>19</v>
      </c>
      <c r="I52" s="38">
        <v>45807</v>
      </c>
      <c r="J52" s="73" t="s">
        <v>396</v>
      </c>
      <c r="K52" s="73"/>
      <c r="L52" s="74"/>
      <c r="M52" s="110" t="s">
        <v>260</v>
      </c>
      <c r="N52" s="111" t="s">
        <v>260</v>
      </c>
      <c r="O52" s="112" t="s">
        <v>260</v>
      </c>
      <c r="P52" s="39" t="s">
        <v>68</v>
      </c>
      <c r="Q52" s="39" t="s">
        <v>68</v>
      </c>
      <c r="R52" s="110" t="s">
        <v>286</v>
      </c>
      <c r="S52" s="116"/>
      <c r="T52" s="53" t="s">
        <v>73</v>
      </c>
      <c r="U52" s="38" t="s">
        <v>404</v>
      </c>
      <c r="V52" s="38"/>
      <c r="W52" s="40"/>
      <c r="X52" s="105" t="s">
        <v>312</v>
      </c>
      <c r="Y52" s="106"/>
      <c r="Z52" s="107"/>
      <c r="AA52" s="77" t="s">
        <v>339</v>
      </c>
      <c r="AB52" s="78" t="s">
        <v>339</v>
      </c>
      <c r="AC52" s="38" t="s">
        <v>404</v>
      </c>
      <c r="AD52" s="38"/>
      <c r="AE52" s="38"/>
      <c r="AF52" s="40"/>
      <c r="AG52" s="38"/>
      <c r="AH52" s="38"/>
      <c r="AI52" s="38" t="s">
        <v>68</v>
      </c>
      <c r="AJ52" s="38" t="s">
        <v>68</v>
      </c>
      <c r="AK52" s="38" t="s">
        <v>68</v>
      </c>
      <c r="AL52" s="38"/>
      <c r="AM52" s="38"/>
      <c r="AN52" s="38"/>
    </row>
    <row r="53" spans="1:40" s="9" customFormat="1" ht="81.75" customHeight="1" x14ac:dyDescent="0.2">
      <c r="A53" s="33">
        <f t="shared" si="2"/>
        <v>40</v>
      </c>
      <c r="B53" s="34" t="s">
        <v>85</v>
      </c>
      <c r="C53" s="34" t="s">
        <v>9</v>
      </c>
      <c r="D53" s="35" t="s">
        <v>86</v>
      </c>
      <c r="E53" s="35" t="s">
        <v>146</v>
      </c>
      <c r="F53" s="34" t="s">
        <v>31</v>
      </c>
      <c r="G53" s="37" t="s">
        <v>140</v>
      </c>
      <c r="H53" s="38" t="s">
        <v>19</v>
      </c>
      <c r="I53" s="38">
        <v>45807</v>
      </c>
      <c r="J53" s="73" t="s">
        <v>397</v>
      </c>
      <c r="K53" s="73"/>
      <c r="L53" s="74"/>
      <c r="M53" s="110" t="s">
        <v>261</v>
      </c>
      <c r="N53" s="111" t="s">
        <v>261</v>
      </c>
      <c r="O53" s="112" t="s">
        <v>261</v>
      </c>
      <c r="P53" s="39" t="s">
        <v>68</v>
      </c>
      <c r="Q53" s="39" t="s">
        <v>68</v>
      </c>
      <c r="R53" s="110" t="s">
        <v>405</v>
      </c>
      <c r="S53" s="116"/>
      <c r="T53" s="39"/>
      <c r="U53" s="38"/>
      <c r="V53" s="38"/>
      <c r="W53" s="40"/>
      <c r="X53" s="105" t="s">
        <v>313</v>
      </c>
      <c r="Y53" s="106"/>
      <c r="Z53" s="107"/>
      <c r="AA53" s="77" t="s">
        <v>340</v>
      </c>
      <c r="AB53" s="78" t="s">
        <v>340</v>
      </c>
      <c r="AC53" s="38"/>
      <c r="AD53" s="38"/>
      <c r="AE53" s="38"/>
      <c r="AF53" s="40"/>
      <c r="AG53" s="38"/>
      <c r="AH53" s="38"/>
      <c r="AI53" s="38" t="s">
        <v>68</v>
      </c>
      <c r="AJ53" s="38" t="s">
        <v>68</v>
      </c>
      <c r="AK53" s="38" t="s">
        <v>61</v>
      </c>
      <c r="AL53" s="38"/>
      <c r="AM53" s="38"/>
      <c r="AN53" s="38"/>
    </row>
    <row r="54" spans="1:40" s="9" customFormat="1" ht="64.5" customHeight="1" x14ac:dyDescent="0.2">
      <c r="A54" s="33">
        <f t="shared" si="2"/>
        <v>41</v>
      </c>
      <c r="B54" s="34" t="s">
        <v>85</v>
      </c>
      <c r="C54" s="34" t="s">
        <v>9</v>
      </c>
      <c r="D54" s="35" t="s">
        <v>86</v>
      </c>
      <c r="E54" s="35" t="s">
        <v>146</v>
      </c>
      <c r="F54" s="34" t="s">
        <v>31</v>
      </c>
      <c r="G54" s="37" t="s">
        <v>141</v>
      </c>
      <c r="H54" s="38" t="s">
        <v>19</v>
      </c>
      <c r="I54" s="38">
        <v>45807</v>
      </c>
      <c r="J54" s="73" t="s">
        <v>108</v>
      </c>
      <c r="K54" s="73"/>
      <c r="L54" s="74"/>
      <c r="M54" s="110" t="s">
        <v>262</v>
      </c>
      <c r="N54" s="111" t="s">
        <v>262</v>
      </c>
      <c r="O54" s="112" t="s">
        <v>262</v>
      </c>
      <c r="P54" s="39" t="s">
        <v>68</v>
      </c>
      <c r="Q54" s="39" t="s">
        <v>68</v>
      </c>
      <c r="R54" s="110" t="s">
        <v>287</v>
      </c>
      <c r="S54" s="116"/>
      <c r="T54" s="39"/>
      <c r="U54" s="38"/>
      <c r="V54" s="38"/>
      <c r="W54" s="40"/>
      <c r="X54" s="105" t="s">
        <v>314</v>
      </c>
      <c r="Y54" s="106"/>
      <c r="Z54" s="107"/>
      <c r="AA54" s="77" t="s">
        <v>341</v>
      </c>
      <c r="AB54" s="78" t="s">
        <v>341</v>
      </c>
      <c r="AC54" s="38"/>
      <c r="AD54" s="38"/>
      <c r="AE54" s="38"/>
      <c r="AF54" s="40"/>
      <c r="AG54" s="38"/>
      <c r="AH54" s="38"/>
      <c r="AI54" s="38" t="s">
        <v>68</v>
      </c>
      <c r="AJ54" s="38" t="s">
        <v>68</v>
      </c>
      <c r="AK54" s="38"/>
      <c r="AL54" s="38"/>
      <c r="AM54" s="38"/>
      <c r="AN54" s="38"/>
    </row>
    <row r="55" spans="1:40" s="9" customFormat="1" ht="68.25" customHeight="1" x14ac:dyDescent="0.2">
      <c r="A55" s="33">
        <f t="shared" si="2"/>
        <v>42</v>
      </c>
      <c r="B55" s="34" t="s">
        <v>85</v>
      </c>
      <c r="C55" s="34" t="s">
        <v>9</v>
      </c>
      <c r="D55" s="35" t="s">
        <v>86</v>
      </c>
      <c r="E55" s="35" t="s">
        <v>146</v>
      </c>
      <c r="F55" s="34" t="s">
        <v>30</v>
      </c>
      <c r="G55" s="37" t="s">
        <v>142</v>
      </c>
      <c r="H55" s="38" t="s">
        <v>19</v>
      </c>
      <c r="I55" s="38">
        <v>45807</v>
      </c>
      <c r="J55" s="73" t="s">
        <v>406</v>
      </c>
      <c r="K55" s="73"/>
      <c r="L55" s="74"/>
      <c r="M55" s="110" t="s">
        <v>263</v>
      </c>
      <c r="N55" s="111" t="s">
        <v>263</v>
      </c>
      <c r="O55" s="112" t="s">
        <v>263</v>
      </c>
      <c r="P55" s="39" t="s">
        <v>68</v>
      </c>
      <c r="Q55" s="39" t="s">
        <v>68</v>
      </c>
      <c r="R55" s="110" t="s">
        <v>288</v>
      </c>
      <c r="S55" s="116"/>
      <c r="T55" s="39"/>
      <c r="U55" s="38"/>
      <c r="V55" s="38"/>
      <c r="W55" s="40"/>
      <c r="X55" s="105" t="s">
        <v>315</v>
      </c>
      <c r="Y55" s="106"/>
      <c r="Z55" s="107"/>
      <c r="AA55" s="77" t="s">
        <v>342</v>
      </c>
      <c r="AB55" s="78" t="s">
        <v>342</v>
      </c>
      <c r="AC55" s="38"/>
      <c r="AD55" s="38"/>
      <c r="AE55" s="38"/>
      <c r="AF55" s="40"/>
      <c r="AG55" s="38"/>
      <c r="AH55" s="38"/>
      <c r="AI55" s="38" t="s">
        <v>68</v>
      </c>
      <c r="AJ55" s="38" t="s">
        <v>68</v>
      </c>
      <c r="AK55" s="38"/>
      <c r="AL55" s="38" t="s">
        <v>68</v>
      </c>
      <c r="AM55" s="38"/>
      <c r="AN55" s="38"/>
    </row>
    <row r="56" spans="1:40" s="9" customFormat="1" ht="74.25" customHeight="1" x14ac:dyDescent="0.2">
      <c r="A56" s="33">
        <f t="shared" si="2"/>
        <v>43</v>
      </c>
      <c r="B56" s="34" t="s">
        <v>85</v>
      </c>
      <c r="C56" s="34" t="s">
        <v>9</v>
      </c>
      <c r="D56" s="35" t="s">
        <v>86</v>
      </c>
      <c r="E56" s="35" t="s">
        <v>146</v>
      </c>
      <c r="F56" s="34" t="s">
        <v>30</v>
      </c>
      <c r="G56" s="37" t="s">
        <v>143</v>
      </c>
      <c r="H56" s="38" t="s">
        <v>19</v>
      </c>
      <c r="I56" s="38">
        <v>45807</v>
      </c>
      <c r="J56" s="73" t="s">
        <v>398</v>
      </c>
      <c r="K56" s="73"/>
      <c r="L56" s="74"/>
      <c r="M56" s="110" t="s">
        <v>264</v>
      </c>
      <c r="N56" s="111" t="s">
        <v>264</v>
      </c>
      <c r="O56" s="112" t="s">
        <v>264</v>
      </c>
      <c r="P56" s="39" t="s">
        <v>68</v>
      </c>
      <c r="Q56" s="39" t="s">
        <v>68</v>
      </c>
      <c r="R56" s="110" t="s">
        <v>289</v>
      </c>
      <c r="S56" s="116"/>
      <c r="T56" s="39"/>
      <c r="U56" s="38"/>
      <c r="V56" s="38"/>
      <c r="W56" s="40"/>
      <c r="X56" s="105" t="s">
        <v>316</v>
      </c>
      <c r="Y56" s="106"/>
      <c r="Z56" s="107"/>
      <c r="AA56" s="77" t="s">
        <v>343</v>
      </c>
      <c r="AB56" s="78" t="s">
        <v>343</v>
      </c>
      <c r="AC56" s="38"/>
      <c r="AD56" s="38"/>
      <c r="AE56" s="38"/>
      <c r="AF56" s="40"/>
      <c r="AG56" s="38"/>
      <c r="AH56" s="38"/>
      <c r="AI56" s="38" t="s">
        <v>68</v>
      </c>
      <c r="AJ56" s="38" t="s">
        <v>68</v>
      </c>
      <c r="AK56" s="38"/>
      <c r="AL56" s="38" t="s">
        <v>68</v>
      </c>
      <c r="AM56" s="38"/>
      <c r="AN56" s="38"/>
    </row>
    <row r="57" spans="1:40" s="9" customFormat="1" ht="79.5" customHeight="1" x14ac:dyDescent="0.2">
      <c r="A57" s="33">
        <f t="shared" si="2"/>
        <v>44</v>
      </c>
      <c r="B57" s="34" t="s">
        <v>85</v>
      </c>
      <c r="C57" s="34" t="s">
        <v>9</v>
      </c>
      <c r="D57" s="35" t="s">
        <v>86</v>
      </c>
      <c r="E57" s="35" t="s">
        <v>146</v>
      </c>
      <c r="F57" s="34" t="s">
        <v>30</v>
      </c>
      <c r="G57" s="37" t="s">
        <v>144</v>
      </c>
      <c r="H57" s="38" t="s">
        <v>19</v>
      </c>
      <c r="I57" s="38">
        <v>45807</v>
      </c>
      <c r="J57" s="73" t="s">
        <v>399</v>
      </c>
      <c r="K57" s="73"/>
      <c r="L57" s="74"/>
      <c r="M57" s="110" t="s">
        <v>265</v>
      </c>
      <c r="N57" s="111" t="s">
        <v>265</v>
      </c>
      <c r="O57" s="112" t="s">
        <v>265</v>
      </c>
      <c r="P57" s="39" t="s">
        <v>68</v>
      </c>
      <c r="Q57" s="39" t="s">
        <v>68</v>
      </c>
      <c r="R57" s="110" t="s">
        <v>290</v>
      </c>
      <c r="S57" s="116"/>
      <c r="T57" s="39"/>
      <c r="U57" s="38"/>
      <c r="V57" s="38"/>
      <c r="W57" s="40"/>
      <c r="X57" s="105" t="s">
        <v>317</v>
      </c>
      <c r="Y57" s="106"/>
      <c r="Z57" s="107"/>
      <c r="AA57" s="77" t="s">
        <v>344</v>
      </c>
      <c r="AB57" s="78" t="s">
        <v>344</v>
      </c>
      <c r="AC57" s="38"/>
      <c r="AD57" s="38"/>
      <c r="AE57" s="38"/>
      <c r="AF57" s="40"/>
      <c r="AG57" s="38"/>
      <c r="AH57" s="38"/>
      <c r="AI57" s="38" t="s">
        <v>68</v>
      </c>
      <c r="AJ57" s="38" t="s">
        <v>68</v>
      </c>
      <c r="AK57" s="38"/>
      <c r="AL57" s="38" t="s">
        <v>68</v>
      </c>
      <c r="AM57" s="38"/>
      <c r="AN57" s="38"/>
    </row>
    <row r="58" spans="1:40" s="9" customFormat="1" ht="42.75" customHeight="1" x14ac:dyDescent="0.2">
      <c r="A58" s="33">
        <f t="shared" si="2"/>
        <v>45</v>
      </c>
      <c r="B58" s="34" t="s">
        <v>85</v>
      </c>
      <c r="C58" s="34" t="s">
        <v>9</v>
      </c>
      <c r="D58" s="35" t="s">
        <v>86</v>
      </c>
      <c r="E58" s="35" t="s">
        <v>146</v>
      </c>
      <c r="F58" s="34" t="s">
        <v>30</v>
      </c>
      <c r="G58" s="37" t="s">
        <v>145</v>
      </c>
      <c r="H58" s="38" t="s">
        <v>19</v>
      </c>
      <c r="I58" s="38">
        <v>45807</v>
      </c>
      <c r="J58" s="73" t="s">
        <v>400</v>
      </c>
      <c r="K58" s="73"/>
      <c r="L58" s="74"/>
      <c r="M58" s="110" t="s">
        <v>266</v>
      </c>
      <c r="N58" s="111" t="s">
        <v>266</v>
      </c>
      <c r="O58" s="112" t="s">
        <v>266</v>
      </c>
      <c r="P58" s="39" t="s">
        <v>68</v>
      </c>
      <c r="Q58" s="39" t="s">
        <v>68</v>
      </c>
      <c r="R58" s="110" t="s">
        <v>291</v>
      </c>
      <c r="S58" s="116"/>
      <c r="T58" s="39"/>
      <c r="U58" s="38"/>
      <c r="V58" s="38"/>
      <c r="W58" s="40"/>
      <c r="X58" s="105" t="s">
        <v>318</v>
      </c>
      <c r="Y58" s="106"/>
      <c r="Z58" s="107"/>
      <c r="AA58" s="77" t="s">
        <v>345</v>
      </c>
      <c r="AB58" s="78" t="s">
        <v>345</v>
      </c>
      <c r="AC58" s="38"/>
      <c r="AD58" s="38"/>
      <c r="AE58" s="38"/>
      <c r="AF58" s="40"/>
      <c r="AG58" s="38"/>
      <c r="AH58" s="38"/>
      <c r="AI58" s="38" t="s">
        <v>68</v>
      </c>
      <c r="AJ58" s="38" t="s">
        <v>68</v>
      </c>
      <c r="AK58" s="38"/>
      <c r="AL58" s="38" t="s">
        <v>68</v>
      </c>
      <c r="AM58" s="38"/>
      <c r="AN58" s="38"/>
    </row>
    <row r="59" spans="1:40" s="9" customFormat="1" ht="41.25" customHeight="1" x14ac:dyDescent="0.2">
      <c r="A59" s="33">
        <f t="shared" si="2"/>
        <v>46</v>
      </c>
      <c r="B59" s="34" t="s">
        <v>66</v>
      </c>
      <c r="C59" s="34" t="s">
        <v>10</v>
      </c>
      <c r="D59" s="35" t="s">
        <v>153</v>
      </c>
      <c r="E59" s="35"/>
      <c r="F59" s="34" t="s">
        <v>67</v>
      </c>
      <c r="G59" s="37" t="s">
        <v>164</v>
      </c>
      <c r="H59" s="38" t="s">
        <v>21</v>
      </c>
      <c r="I59" s="38">
        <v>45848</v>
      </c>
      <c r="J59" s="73" t="s">
        <v>166</v>
      </c>
      <c r="K59" s="73"/>
      <c r="L59" s="74"/>
      <c r="M59" s="110" t="s">
        <v>267</v>
      </c>
      <c r="N59" s="111" t="s">
        <v>267</v>
      </c>
      <c r="O59" s="112" t="s">
        <v>267</v>
      </c>
      <c r="P59" s="39" t="s">
        <v>68</v>
      </c>
      <c r="Q59" s="39" t="s">
        <v>68</v>
      </c>
      <c r="R59" s="110" t="s">
        <v>292</v>
      </c>
      <c r="S59" s="116"/>
      <c r="T59" s="39"/>
      <c r="U59" s="38"/>
      <c r="V59" s="38"/>
      <c r="W59" s="40"/>
      <c r="X59" s="105" t="s">
        <v>319</v>
      </c>
      <c r="Y59" s="106"/>
      <c r="Z59" s="107"/>
      <c r="AA59" s="77" t="s">
        <v>346</v>
      </c>
      <c r="AB59" s="78" t="s">
        <v>346</v>
      </c>
      <c r="AC59" s="38"/>
      <c r="AD59" s="38"/>
      <c r="AE59" s="38"/>
      <c r="AF59" s="40"/>
      <c r="AG59" s="38"/>
      <c r="AH59" s="38"/>
      <c r="AI59" s="38" t="s">
        <v>68</v>
      </c>
      <c r="AJ59" s="38" t="s">
        <v>68</v>
      </c>
      <c r="AK59" s="38"/>
      <c r="AL59" s="38" t="s">
        <v>68</v>
      </c>
      <c r="AM59" s="38"/>
      <c r="AN59" s="38"/>
    </row>
    <row r="60" spans="1:40" s="9" customFormat="1" ht="122.25" customHeight="1" x14ac:dyDescent="0.2">
      <c r="A60" s="33">
        <f t="shared" si="2"/>
        <v>47</v>
      </c>
      <c r="B60" s="34" t="s">
        <v>66</v>
      </c>
      <c r="C60" s="34" t="s">
        <v>35</v>
      </c>
      <c r="D60" s="35" t="s">
        <v>156</v>
      </c>
      <c r="E60" s="36" t="s">
        <v>154</v>
      </c>
      <c r="F60" s="34" t="s">
        <v>67</v>
      </c>
      <c r="G60" s="37" t="s">
        <v>157</v>
      </c>
      <c r="H60" s="38" t="s">
        <v>21</v>
      </c>
      <c r="I60" s="38">
        <v>45857</v>
      </c>
      <c r="J60" s="73" t="s">
        <v>155</v>
      </c>
      <c r="K60" s="73"/>
      <c r="L60" s="74"/>
      <c r="M60" s="110" t="s">
        <v>268</v>
      </c>
      <c r="N60" s="111" t="s">
        <v>268</v>
      </c>
      <c r="O60" s="112" t="s">
        <v>268</v>
      </c>
      <c r="P60" s="39" t="s">
        <v>68</v>
      </c>
      <c r="Q60" s="39" t="s">
        <v>68</v>
      </c>
      <c r="R60" s="110" t="s">
        <v>293</v>
      </c>
      <c r="S60" s="116"/>
      <c r="T60" s="39"/>
      <c r="U60" s="38"/>
      <c r="V60" s="38"/>
      <c r="W60" s="40"/>
      <c r="X60" s="105" t="s">
        <v>320</v>
      </c>
      <c r="Y60" s="106"/>
      <c r="Z60" s="107"/>
      <c r="AA60" s="77" t="s">
        <v>347</v>
      </c>
      <c r="AB60" s="78" t="s">
        <v>347</v>
      </c>
      <c r="AC60" s="38"/>
      <c r="AD60" s="38"/>
      <c r="AE60" s="38"/>
      <c r="AF60" s="40"/>
      <c r="AG60" s="38"/>
      <c r="AH60" s="38"/>
      <c r="AI60" s="38" t="s">
        <v>68</v>
      </c>
      <c r="AJ60" s="38" t="s">
        <v>68</v>
      </c>
      <c r="AK60" s="38"/>
      <c r="AL60" s="38" t="s">
        <v>68</v>
      </c>
      <c r="AM60" s="38"/>
      <c r="AN60" s="38"/>
    </row>
    <row r="61" spans="1:40" s="9" customFormat="1" ht="41.25" customHeight="1" x14ac:dyDescent="0.2">
      <c r="A61" s="33"/>
      <c r="B61" s="34"/>
      <c r="C61" s="34"/>
      <c r="D61" s="35"/>
      <c r="E61" s="35"/>
      <c r="F61" s="34"/>
      <c r="G61" s="47"/>
      <c r="H61" s="38"/>
      <c r="I61" s="38"/>
      <c r="J61" s="121"/>
      <c r="K61" s="121"/>
      <c r="L61" s="116"/>
      <c r="M61" s="110"/>
      <c r="N61" s="111"/>
      <c r="O61" s="112"/>
      <c r="P61" s="39"/>
      <c r="Q61" s="39"/>
      <c r="R61" s="110"/>
      <c r="S61" s="116"/>
      <c r="T61" s="39"/>
      <c r="U61" s="38"/>
      <c r="V61" s="38"/>
      <c r="W61" s="40"/>
      <c r="X61" s="105"/>
      <c r="Y61" s="106"/>
      <c r="Z61" s="107"/>
      <c r="AA61" s="77"/>
      <c r="AB61" s="78"/>
      <c r="AC61" s="38"/>
      <c r="AD61" s="38"/>
      <c r="AE61" s="38"/>
      <c r="AF61" s="40"/>
      <c r="AG61" s="38"/>
      <c r="AH61" s="38"/>
      <c r="AI61" s="38"/>
      <c r="AJ61" s="38"/>
      <c r="AK61" s="38"/>
      <c r="AL61" s="38"/>
      <c r="AM61" s="38"/>
      <c r="AN61" s="38"/>
    </row>
    <row r="62" spans="1:40" s="9" customFormat="1" ht="41.25" customHeight="1" x14ac:dyDescent="0.2">
      <c r="A62" s="33"/>
      <c r="B62" s="34"/>
      <c r="C62" s="34"/>
      <c r="D62" s="35"/>
      <c r="E62" s="35"/>
      <c r="F62" s="34"/>
      <c r="G62" s="47"/>
      <c r="H62" s="38"/>
      <c r="I62" s="38"/>
      <c r="J62" s="121"/>
      <c r="K62" s="121"/>
      <c r="L62" s="116"/>
      <c r="M62" s="110"/>
      <c r="N62" s="111"/>
      <c r="O62" s="112"/>
      <c r="P62" s="39"/>
      <c r="Q62" s="39"/>
      <c r="R62" s="110"/>
      <c r="S62" s="116"/>
      <c r="T62" s="39"/>
      <c r="U62" s="38"/>
      <c r="V62" s="38"/>
      <c r="W62" s="40"/>
      <c r="X62" s="105"/>
      <c r="Y62" s="106"/>
      <c r="Z62" s="107"/>
      <c r="AA62" s="77"/>
      <c r="AB62" s="78"/>
      <c r="AC62" s="38"/>
      <c r="AD62" s="38"/>
      <c r="AE62" s="38"/>
      <c r="AF62" s="40"/>
      <c r="AG62" s="38"/>
      <c r="AH62" s="38"/>
      <c r="AI62" s="38"/>
      <c r="AJ62" s="38"/>
      <c r="AK62" s="38"/>
      <c r="AL62" s="38"/>
      <c r="AM62" s="38"/>
      <c r="AN62" s="38"/>
    </row>
    <row r="77" spans="10:10" x14ac:dyDescent="0.25">
      <c r="J77" s="63"/>
    </row>
    <row r="78" spans="10:10" x14ac:dyDescent="0.25">
      <c r="J78" s="63"/>
    </row>
    <row r="79" spans="10:10" x14ac:dyDescent="0.25">
      <c r="J79" s="63"/>
    </row>
    <row r="80" spans="10:10" x14ac:dyDescent="0.25">
      <c r="J80" s="63"/>
    </row>
    <row r="81" spans="10:10" x14ac:dyDescent="0.25">
      <c r="J81" s="63"/>
    </row>
    <row r="82" spans="10:10" x14ac:dyDescent="0.25">
      <c r="J82" s="63"/>
    </row>
    <row r="83" spans="10:10" x14ac:dyDescent="0.25">
      <c r="J83" s="63"/>
    </row>
    <row r="84" spans="10:10" x14ac:dyDescent="0.25">
      <c r="J84" s="63"/>
    </row>
    <row r="85" spans="10:10" x14ac:dyDescent="0.25">
      <c r="J85" s="63"/>
    </row>
    <row r="86" spans="10:10" x14ac:dyDescent="0.25">
      <c r="J86" s="63"/>
    </row>
  </sheetData>
  <autoFilter ref="A12:AN60">
    <filterColumn colId="9" showButton="0"/>
    <filterColumn colId="10" hiddenButton="1" showButton="0"/>
    <filterColumn colId="15" showButton="0"/>
    <filterColumn colId="16" showButton="0"/>
    <filterColumn colId="17" showButton="0"/>
    <filterColumn colId="18" hiddenButton="1" showButton="0"/>
    <filterColumn colId="20" showButton="0"/>
    <filterColumn colId="26" showButton="0"/>
    <filterColumn colId="27" showButton="0"/>
    <filterColumn colId="29" showButton="0"/>
    <filterColumn colId="32" showButton="0"/>
    <filterColumn colId="34" showButton="0"/>
    <filterColumn colId="36" showButton="0"/>
  </autoFilter>
  <mergeCells count="279">
    <mergeCell ref="X57:Z57"/>
    <mergeCell ref="X58:Z58"/>
    <mergeCell ref="X59:Z59"/>
    <mergeCell ref="X60:Z60"/>
    <mergeCell ref="X61:Z61"/>
    <mergeCell ref="X62:Z62"/>
    <mergeCell ref="AA26:AB26"/>
    <mergeCell ref="AA27:AB27"/>
    <mergeCell ref="X39:Z39"/>
    <mergeCell ref="X40:Z40"/>
    <mergeCell ref="X41:Z41"/>
    <mergeCell ref="X42:Z42"/>
    <mergeCell ref="X43:Z43"/>
    <mergeCell ref="X44:Z44"/>
    <mergeCell ref="X45:Z45"/>
    <mergeCell ref="X46:Z46"/>
    <mergeCell ref="X47:Z47"/>
    <mergeCell ref="X33:Z33"/>
    <mergeCell ref="X34:Z34"/>
    <mergeCell ref="X35:Z35"/>
    <mergeCell ref="X36:Z36"/>
    <mergeCell ref="X37:Z37"/>
    <mergeCell ref="AA60:AB60"/>
    <mergeCell ref="AA61:AB61"/>
    <mergeCell ref="R58:S58"/>
    <mergeCell ref="R59:S59"/>
    <mergeCell ref="R60:S60"/>
    <mergeCell ref="R61:S61"/>
    <mergeCell ref="R62:S62"/>
    <mergeCell ref="X12:Z13"/>
    <mergeCell ref="X14:Z14"/>
    <mergeCell ref="X15:Z15"/>
    <mergeCell ref="X16:Z16"/>
    <mergeCell ref="X17:Z17"/>
    <mergeCell ref="X18:Z18"/>
    <mergeCell ref="X19:Z19"/>
    <mergeCell ref="X20:Z20"/>
    <mergeCell ref="X21:Z21"/>
    <mergeCell ref="X22:Z22"/>
    <mergeCell ref="X23:Z23"/>
    <mergeCell ref="X24:Z24"/>
    <mergeCell ref="X25:Z25"/>
    <mergeCell ref="X26:Z26"/>
    <mergeCell ref="X27:Z27"/>
    <mergeCell ref="X28:Z28"/>
    <mergeCell ref="X29:Z29"/>
    <mergeCell ref="X30:Z30"/>
    <mergeCell ref="X31:Z31"/>
    <mergeCell ref="R45:S45"/>
    <mergeCell ref="R46:S46"/>
    <mergeCell ref="R47:S47"/>
    <mergeCell ref="R48:S48"/>
    <mergeCell ref="R49:S49"/>
    <mergeCell ref="R50:S50"/>
    <mergeCell ref="R51:S51"/>
    <mergeCell ref="R52:S52"/>
    <mergeCell ref="R53:S53"/>
    <mergeCell ref="X32:Z32"/>
    <mergeCell ref="R21:S21"/>
    <mergeCell ref="R22:S22"/>
    <mergeCell ref="R23:S23"/>
    <mergeCell ref="R24:S24"/>
    <mergeCell ref="R25:S25"/>
    <mergeCell ref="R26:S26"/>
    <mergeCell ref="R27:S27"/>
    <mergeCell ref="R28:S28"/>
    <mergeCell ref="R29:S29"/>
    <mergeCell ref="AA28:AB28"/>
    <mergeCell ref="AA31:AB31"/>
    <mergeCell ref="J30:L30"/>
    <mergeCell ref="AA30:AB30"/>
    <mergeCell ref="J29:L29"/>
    <mergeCell ref="AA29:AB29"/>
    <mergeCell ref="M31:O31"/>
    <mergeCell ref="AA22:AB22"/>
    <mergeCell ref="R13:S13"/>
    <mergeCell ref="R14:S14"/>
    <mergeCell ref="R15:S15"/>
    <mergeCell ref="R16:S16"/>
    <mergeCell ref="R17:S17"/>
    <mergeCell ref="R18:S18"/>
    <mergeCell ref="R19:S19"/>
    <mergeCell ref="R20:S20"/>
    <mergeCell ref="J25:L25"/>
    <mergeCell ref="AA25:AB25"/>
    <mergeCell ref="AA19:AB19"/>
    <mergeCell ref="J20:L20"/>
    <mergeCell ref="AA20:AB20"/>
    <mergeCell ref="AA15:AB15"/>
    <mergeCell ref="J15:L15"/>
    <mergeCell ref="AA17:AB17"/>
    <mergeCell ref="M59:O59"/>
    <mergeCell ref="M60:O60"/>
    <mergeCell ref="M61:O61"/>
    <mergeCell ref="M62:O62"/>
    <mergeCell ref="J21:L21"/>
    <mergeCell ref="M21:O21"/>
    <mergeCell ref="M46:O46"/>
    <mergeCell ref="M47:O47"/>
    <mergeCell ref="M48:O48"/>
    <mergeCell ref="M49:O49"/>
    <mergeCell ref="M50:O50"/>
    <mergeCell ref="M51:O51"/>
    <mergeCell ref="M52:O52"/>
    <mergeCell ref="M53:O53"/>
    <mergeCell ref="M54:O54"/>
    <mergeCell ref="J60:L60"/>
    <mergeCell ref="J28:L28"/>
    <mergeCell ref="J61:L61"/>
    <mergeCell ref="J62:L62"/>
    <mergeCell ref="J59:L59"/>
    <mergeCell ref="J44:L44"/>
    <mergeCell ref="J45:L45"/>
    <mergeCell ref="J27:L27"/>
    <mergeCell ref="J31:L31"/>
    <mergeCell ref="AA62:AB62"/>
    <mergeCell ref="M12:O13"/>
    <mergeCell ref="M14:O14"/>
    <mergeCell ref="M15:O15"/>
    <mergeCell ref="M16:O16"/>
    <mergeCell ref="M17:O17"/>
    <mergeCell ref="M18:O18"/>
    <mergeCell ref="M19:O19"/>
    <mergeCell ref="M20:O20"/>
    <mergeCell ref="M25:O25"/>
    <mergeCell ref="M24:O24"/>
    <mergeCell ref="M26:O26"/>
    <mergeCell ref="M27:O27"/>
    <mergeCell ref="M28:O28"/>
    <mergeCell ref="M29:O29"/>
    <mergeCell ref="M30:O30"/>
    <mergeCell ref="AA59:AB59"/>
    <mergeCell ref="M41:O41"/>
    <mergeCell ref="M42:O42"/>
    <mergeCell ref="AA44:AB44"/>
    <mergeCell ref="AA39:AB39"/>
    <mergeCell ref="M43:O43"/>
    <mergeCell ref="M44:O44"/>
    <mergeCell ref="M45:O45"/>
    <mergeCell ref="J46:L46"/>
    <mergeCell ref="AA46:AB46"/>
    <mergeCell ref="J43:L43"/>
    <mergeCell ref="AA43:AB43"/>
    <mergeCell ref="AA45:AB45"/>
    <mergeCell ref="J32:L32"/>
    <mergeCell ref="AA32:AB32"/>
    <mergeCell ref="M39:O39"/>
    <mergeCell ref="M32:O32"/>
    <mergeCell ref="AA33:AB33"/>
    <mergeCell ref="R34:S34"/>
    <mergeCell ref="R35:S35"/>
    <mergeCell ref="R36:S36"/>
    <mergeCell ref="R37:S37"/>
    <mergeCell ref="R38:S38"/>
    <mergeCell ref="R39:S39"/>
    <mergeCell ref="R40:S40"/>
    <mergeCell ref="R41:S41"/>
    <mergeCell ref="R42:S42"/>
    <mergeCell ref="R43:S43"/>
    <mergeCell ref="R44:S44"/>
    <mergeCell ref="M33:O33"/>
    <mergeCell ref="M34:O34"/>
    <mergeCell ref="M40:O40"/>
    <mergeCell ref="J50:L50"/>
    <mergeCell ref="AA50:AB50"/>
    <mergeCell ref="J51:L51"/>
    <mergeCell ref="AA51:AB51"/>
    <mergeCell ref="J52:L52"/>
    <mergeCell ref="AA52:AB52"/>
    <mergeCell ref="J47:L47"/>
    <mergeCell ref="AA47:AB47"/>
    <mergeCell ref="J48:L48"/>
    <mergeCell ref="AA48:AB48"/>
    <mergeCell ref="J49:L49"/>
    <mergeCell ref="AA49:AB49"/>
    <mergeCell ref="X48:Z48"/>
    <mergeCell ref="X49:Z49"/>
    <mergeCell ref="X50:Z50"/>
    <mergeCell ref="X51:Z51"/>
    <mergeCell ref="X52:Z52"/>
    <mergeCell ref="J57:L57"/>
    <mergeCell ref="AA57:AB57"/>
    <mergeCell ref="J58:L58"/>
    <mergeCell ref="AA58:AB58"/>
    <mergeCell ref="J53:L53"/>
    <mergeCell ref="AA53:AB53"/>
    <mergeCell ref="J54:L54"/>
    <mergeCell ref="AA54:AB54"/>
    <mergeCell ref="J55:L55"/>
    <mergeCell ref="AA55:AB55"/>
    <mergeCell ref="J56:L56"/>
    <mergeCell ref="AA56:AB56"/>
    <mergeCell ref="M55:O55"/>
    <mergeCell ref="M56:O56"/>
    <mergeCell ref="M57:O57"/>
    <mergeCell ref="M58:O58"/>
    <mergeCell ref="R54:S54"/>
    <mergeCell ref="R55:S55"/>
    <mergeCell ref="R56:S56"/>
    <mergeCell ref="R57:S57"/>
    <mergeCell ref="X53:Z53"/>
    <mergeCell ref="X54:Z54"/>
    <mergeCell ref="X55:Z55"/>
    <mergeCell ref="X56:Z56"/>
    <mergeCell ref="J33:L33"/>
    <mergeCell ref="J26:L26"/>
    <mergeCell ref="J40:L40"/>
    <mergeCell ref="AA40:AB40"/>
    <mergeCell ref="J18:L18"/>
    <mergeCell ref="AA18:AB18"/>
    <mergeCell ref="J19:L19"/>
    <mergeCell ref="J38:L38"/>
    <mergeCell ref="AA38:AB38"/>
    <mergeCell ref="X38:Z38"/>
    <mergeCell ref="M35:O35"/>
    <mergeCell ref="M36:O36"/>
    <mergeCell ref="M37:O37"/>
    <mergeCell ref="M38:O38"/>
    <mergeCell ref="M23:O23"/>
    <mergeCell ref="J23:L23"/>
    <mergeCell ref="R30:S30"/>
    <mergeCell ref="R31:S31"/>
    <mergeCell ref="R32:S32"/>
    <mergeCell ref="R33:S33"/>
    <mergeCell ref="AA24:AB24"/>
    <mergeCell ref="J22:L22"/>
    <mergeCell ref="AA21:AB21"/>
    <mergeCell ref="J24:L24"/>
    <mergeCell ref="J41:L41"/>
    <mergeCell ref="AA41:AB41"/>
    <mergeCell ref="J42:L42"/>
    <mergeCell ref="AA42:AB42"/>
    <mergeCell ref="J34:L34"/>
    <mergeCell ref="AA34:AB34"/>
    <mergeCell ref="J35:L35"/>
    <mergeCell ref="AA35:AB35"/>
    <mergeCell ref="J36:L36"/>
    <mergeCell ref="AA36:AB36"/>
    <mergeCell ref="J37:L37"/>
    <mergeCell ref="AA37:AB37"/>
    <mergeCell ref="J39:L39"/>
    <mergeCell ref="E12:E13"/>
    <mergeCell ref="I12:I13"/>
    <mergeCell ref="G12:G13"/>
    <mergeCell ref="J12:L13"/>
    <mergeCell ref="U12:V12"/>
    <mergeCell ref="AN12:AN13"/>
    <mergeCell ref="AK12:AL12"/>
    <mergeCell ref="AM12:AM13"/>
    <mergeCell ref="AA13:AB13"/>
    <mergeCell ref="AF12:AF13"/>
    <mergeCell ref="AI12:AJ12"/>
    <mergeCell ref="AG12:AH12"/>
    <mergeCell ref="AD12:AE12"/>
    <mergeCell ref="AA12:AC12"/>
    <mergeCell ref="J14:L14"/>
    <mergeCell ref="J16:L16"/>
    <mergeCell ref="J17:L17"/>
    <mergeCell ref="AA14:AB14"/>
    <mergeCell ref="AA16:AB16"/>
    <mergeCell ref="AA23:AB23"/>
    <mergeCell ref="M22:O22"/>
    <mergeCell ref="A1:B2"/>
    <mergeCell ref="H12:H13"/>
    <mergeCell ref="A7:B7"/>
    <mergeCell ref="A8:B8"/>
    <mergeCell ref="A10:B10"/>
    <mergeCell ref="A12:A13"/>
    <mergeCell ref="B12:B13"/>
    <mergeCell ref="C12:C13"/>
    <mergeCell ref="D12:D13"/>
    <mergeCell ref="F12:F13"/>
    <mergeCell ref="C10:D10"/>
    <mergeCell ref="C1:AM2"/>
    <mergeCell ref="W12:W13"/>
    <mergeCell ref="P12:T12"/>
    <mergeCell ref="A4:B4"/>
    <mergeCell ref="C4:D4"/>
    <mergeCell ref="A6:B6"/>
  </mergeCells>
  <conditionalFormatting sqref="W14:W62">
    <cfRule type="colorScale" priority="93">
      <colorScale>
        <cfvo type="min"/>
        <cfvo type="percentile" val="50"/>
        <cfvo type="max"/>
        <color rgb="FFF8696B"/>
        <color rgb="FFFFEB84"/>
        <color rgb="FF63BE7B"/>
      </colorScale>
    </cfRule>
  </conditionalFormatting>
  <conditionalFormatting sqref="AF14:AF62">
    <cfRule type="colorScale" priority="95">
      <colorScale>
        <cfvo type="min"/>
        <cfvo type="percentile" val="50"/>
        <cfvo type="max"/>
        <color rgb="FFF8696B"/>
        <color rgb="FFFFEB84"/>
        <color rgb="FF63BE7B"/>
      </colorScale>
    </cfRule>
  </conditionalFormatting>
  <conditionalFormatting sqref="AF39">
    <cfRule type="colorScale" priority="1">
      <colorScale>
        <cfvo type="min"/>
        <cfvo type="percentile" val="50"/>
        <cfvo type="max"/>
        <color rgb="FFF8696B"/>
        <color rgb="FFFFEB84"/>
        <color rgb="FF63BE7B"/>
      </colorScale>
    </cfRule>
  </conditionalFormatting>
  <dataValidations count="5">
    <dataValidation type="list" allowBlank="1" showInputMessage="1" showErrorMessage="1" sqref="F29:F62 F14:F24">
      <formula1>"AC, RE1, RE2, CO, ET, MI1,MI2, RH, EN"</formula1>
    </dataValidation>
    <dataValidation type="list" allowBlank="1" showInputMessage="1" showErrorMessage="1" sqref="AF14:AF62 W14:W62">
      <formula1>"0 %, 10 %, 20 %, 30 %, 40 %, 50 %, 60 %, 70 %, 80 %, 90 %, 100 %"</formula1>
    </dataValidation>
    <dataValidation type="list" allowBlank="1" showInputMessage="1" showErrorMessage="1" sqref="H14:H62">
      <formula1>"Janvier, Février, Mars, Avril, Mai, Juin, Juillet, Août, Septembre, Octobre, Novembre, Décembre"</formula1>
    </dataValidation>
    <dataValidation type="list" allowBlank="1" showInputMessage="1" showErrorMessage="1" sqref="B14:B62">
      <formula1>"NC système, NC Technique"</formula1>
    </dataValidation>
    <dataValidation type="list" allowBlank="1" showInputMessage="1" showErrorMessage="1" sqref="C14:C62">
      <formula1>"Interne, Audit, Réclamation Client, Réclamation PI"</formula1>
    </dataValidation>
  </dataValidations>
  <hyperlinks>
    <hyperlink ref="E15" r:id="rId1"/>
    <hyperlink ref="G15" r:id="rId2"/>
    <hyperlink ref="E14" r:id="rId3"/>
    <hyperlink ref="G14" r:id="rId4"/>
    <hyperlink ref="E16" r:id="rId5"/>
    <hyperlink ref="G16" r:id="rId6"/>
    <hyperlink ref="E17" r:id="rId7"/>
    <hyperlink ref="G17" r:id="rId8"/>
    <hyperlink ref="E18" r:id="rId9"/>
    <hyperlink ref="E19" r:id="rId10"/>
    <hyperlink ref="G19" r:id="rId11"/>
    <hyperlink ref="E20" r:id="rId12"/>
    <hyperlink ref="G20" r:id="rId13"/>
    <hyperlink ref="G18" r:id="rId14"/>
    <hyperlink ref="E60" r:id="rId15"/>
    <hyperlink ref="G21" r:id="rId16"/>
    <hyperlink ref="G22" r:id="rId17"/>
    <hyperlink ref="G23" r:id="rId18"/>
    <hyperlink ref="G24" r:id="rId19"/>
    <hyperlink ref="G25" r:id="rId20"/>
    <hyperlink ref="G26" r:id="rId21"/>
    <hyperlink ref="G27" r:id="rId22"/>
    <hyperlink ref="G59" r:id="rId23"/>
    <hyperlink ref="G60" r:id="rId24"/>
    <hyperlink ref="G40" r:id="rId25"/>
    <hyperlink ref="G41" r:id="rId26"/>
    <hyperlink ref="G29" r:id="rId27"/>
    <hyperlink ref="G30" r:id="rId28"/>
    <hyperlink ref="G31" r:id="rId29"/>
    <hyperlink ref="G32" r:id="rId30"/>
    <hyperlink ref="G33" r:id="rId31"/>
    <hyperlink ref="G34" r:id="rId32"/>
    <hyperlink ref="G35" r:id="rId33"/>
    <hyperlink ref="G36" r:id="rId34"/>
    <hyperlink ref="G37" r:id="rId35"/>
    <hyperlink ref="G38" r:id="rId36"/>
    <hyperlink ref="G39" r:id="rId37"/>
    <hyperlink ref="G42" r:id="rId38"/>
    <hyperlink ref="G43" r:id="rId39"/>
    <hyperlink ref="G44" r:id="rId40"/>
    <hyperlink ref="G45" r:id="rId41"/>
    <hyperlink ref="G46" r:id="rId42"/>
    <hyperlink ref="G47" r:id="rId43"/>
    <hyperlink ref="G48" r:id="rId44"/>
    <hyperlink ref="G49" r:id="rId45"/>
    <hyperlink ref="G50" r:id="rId46"/>
    <hyperlink ref="G51" r:id="rId47"/>
    <hyperlink ref="G52" r:id="rId48"/>
    <hyperlink ref="G53" r:id="rId49"/>
    <hyperlink ref="G54" r:id="rId50"/>
    <hyperlink ref="G55" r:id="rId51"/>
    <hyperlink ref="G56" r:id="rId52"/>
    <hyperlink ref="G57" r:id="rId53"/>
    <hyperlink ref="G58" r:id="rId54"/>
  </hyperlinks>
  <pageMargins left="7.874015748031496E-2" right="7.874015748031496E-2" top="7.874015748031496E-2" bottom="0.35433070866141736" header="7.874015748031496E-2" footer="7.874015748031496E-2"/>
  <pageSetup paperSize="9" scale="45" orientation="landscape" r:id="rId55"/>
  <headerFooter>
    <oddFooter>&amp;C&amp;P/&amp;N&amp;R</oddFooter>
  </headerFooter>
  <drawing r:id="rId5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2025</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utilisateur</dc:creator>
  <cp:lastModifiedBy>USER</cp:lastModifiedBy>
  <cp:lastPrinted>2022-01-24T10:55:02Z</cp:lastPrinted>
  <dcterms:created xsi:type="dcterms:W3CDTF">2011-02-23T10:55:22Z</dcterms:created>
  <dcterms:modified xsi:type="dcterms:W3CDTF">2026-06-13T11:01:07Z</dcterms:modified>
</cp:coreProperties>
</file>
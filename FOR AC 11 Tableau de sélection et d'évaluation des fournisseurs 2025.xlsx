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32760" windowWidth="15600" windowHeight="6915" tabRatio="952" activeTab="4"/>
  </bookViews>
  <sheets>
    <sheet name="Matière premiére Plantes" sheetId="1" r:id="rId1"/>
    <sheet name="Matiére premiére Terre veg" sheetId="13" r:id="rId2"/>
    <sheet name="Matière premiére GAZON" sheetId="2" r:id="rId3"/>
    <sheet name="Matière décorative" sheetId="3" r:id="rId4"/>
    <sheet name=" Bac à fleurs" sheetId="4" r:id="rId5"/>
    <sheet name="Produits phytosanitaire" sheetId="5" r:id="rId6"/>
    <sheet name="EQUI SECURITE &amp; OUTILLAGE" sheetId="6" r:id="rId7"/>
    <sheet name="PARC AUTO" sheetId="8" r:id="rId8"/>
    <sheet name="EQUIPEMENTS BUREAUTIQUE ET INFO" sheetId="9" r:id="rId9"/>
    <sheet name="SERVICES" sheetId="10" r:id="rId10"/>
    <sheet name="LOCATION DES ENGINS &amp; TRANSPORT" sheetId="11" r:id="rId11"/>
    <sheet name="SOUS-TRAITANTS" sheetId="12" r:id="rId12"/>
  </sheets>
  <definedNames>
    <definedName name="_xlnm.Print_Area" localSheetId="4">' Bac à fleurs'!$A$1:$Y$20</definedName>
    <definedName name="_xlnm.Print_Area" localSheetId="6">'EQUI SECURITE &amp; OUTILLAGE'!$A$1:$Y$22</definedName>
    <definedName name="_xlnm.Print_Area" localSheetId="8">'EQUIPEMENTS BUREAUTIQUE ET INFO'!$A$1:$X$18</definedName>
    <definedName name="_xlnm.Print_Area" localSheetId="10">'LOCATION DES ENGINS &amp; TRANSPORT'!$A$1:$X$31</definedName>
    <definedName name="_xlnm.Print_Area" localSheetId="3">'Matière décorative'!$A$1:$Y$18</definedName>
    <definedName name="_xlnm.Print_Area" localSheetId="2">'Matière premiére GAZON'!$A$1:$Y$19</definedName>
    <definedName name="_xlnm.Print_Area" localSheetId="0">'Matière premiére Plantes'!$A$1:$Y$27</definedName>
    <definedName name="_xlnm.Print_Area" localSheetId="7">'PARC AUTO'!$A$1:$AB$20</definedName>
    <definedName name="_xlnm.Print_Area" localSheetId="5">'Produits phytosanitaire'!$A$1:$V$19</definedName>
    <definedName name="_xlnm.Print_Area" localSheetId="9">SERVICES!$A$1:$AA$56</definedName>
  </definedNames>
  <calcPr calcId="124519"/>
</workbook>
</file>

<file path=xl/calcChain.xml><?xml version="1.0" encoding="utf-8"?>
<calcChain xmlns="http://schemas.openxmlformats.org/spreadsheetml/2006/main">
  <c r="T9" i="3"/>
  <c r="O9"/>
  <c r="T9" i="2"/>
  <c r="T10"/>
  <c r="O10"/>
  <c r="O9"/>
  <c r="V16" i="10"/>
  <c r="N16"/>
  <c r="V15"/>
  <c r="N15"/>
  <c r="V17"/>
  <c r="N17"/>
  <c r="T10" i="4"/>
  <c r="O10"/>
  <c r="O9"/>
  <c r="T9" s="1"/>
  <c r="V18" i="10"/>
  <c r="N18"/>
  <c r="V12"/>
  <c r="N12"/>
  <c r="S11" i="11"/>
  <c r="M11"/>
  <c r="W10" i="13"/>
  <c r="O10"/>
  <c r="V12" i="12"/>
  <c r="N12"/>
  <c r="V11"/>
  <c r="N11"/>
  <c r="M20" i="11" l="1"/>
  <c r="S20"/>
  <c r="M22"/>
  <c r="S22"/>
  <c r="M10"/>
  <c r="S10"/>
  <c r="S9"/>
  <c r="M9"/>
  <c r="S18"/>
  <c r="M18"/>
  <c r="V47" i="10"/>
  <c r="N47"/>
  <c r="V46"/>
  <c r="N46"/>
  <c r="V45"/>
  <c r="N45"/>
  <c r="V43"/>
  <c r="N43"/>
  <c r="V41"/>
  <c r="N41"/>
  <c r="V40"/>
  <c r="N40"/>
  <c r="V39"/>
  <c r="N39"/>
  <c r="V37"/>
  <c r="N37"/>
  <c r="V36"/>
  <c r="N36"/>
  <c r="V33"/>
  <c r="N33"/>
  <c r="V29"/>
  <c r="N29"/>
  <c r="V28"/>
  <c r="N28"/>
  <c r="V26"/>
  <c r="N26"/>
  <c r="V25"/>
  <c r="N25"/>
  <c r="V24"/>
  <c r="N24"/>
  <c r="V22"/>
  <c r="N22"/>
  <c r="V20"/>
  <c r="N20"/>
  <c r="V14"/>
  <c r="N14"/>
  <c r="V11"/>
  <c r="N11"/>
  <c r="V10"/>
  <c r="N10"/>
  <c r="V9"/>
  <c r="N9"/>
  <c r="V34"/>
  <c r="N34"/>
  <c r="S9" i="9"/>
  <c r="N9"/>
  <c r="N8"/>
  <c r="S8"/>
  <c r="W10" i="8"/>
  <c r="O10"/>
  <c r="W9"/>
  <c r="O9"/>
  <c r="W8"/>
  <c r="O8"/>
  <c r="T12" i="6"/>
  <c r="O12"/>
  <c r="O13"/>
  <c r="T13"/>
  <c r="T10"/>
  <c r="O10"/>
  <c r="O9"/>
  <c r="T9"/>
  <c r="Q9" i="5"/>
  <c r="Q10"/>
  <c r="Q8"/>
  <c r="L9"/>
  <c r="L10"/>
  <c r="L8"/>
  <c r="T8" i="3"/>
  <c r="O8"/>
  <c r="O8" i="4"/>
  <c r="O11"/>
  <c r="T8" i="2"/>
  <c r="O8"/>
  <c r="W8" i="13"/>
  <c r="W9"/>
  <c r="W11"/>
  <c r="O9" l="1"/>
  <c r="O11"/>
  <c r="O8"/>
  <c r="T18" i="1"/>
  <c r="T17"/>
  <c r="T16"/>
  <c r="T15"/>
  <c r="T14"/>
  <c r="T13"/>
  <c r="T12"/>
  <c r="T11"/>
  <c r="T10"/>
  <c r="T9"/>
  <c r="T8"/>
  <c r="O9"/>
  <c r="O10"/>
  <c r="O11"/>
  <c r="O12"/>
  <c r="O13"/>
  <c r="O14"/>
  <c r="O15"/>
  <c r="O16"/>
  <c r="O17"/>
  <c r="O18"/>
  <c r="O8"/>
  <c r="T8" i="4"/>
  <c r="T11"/>
</calcChain>
</file>

<file path=xl/sharedStrings.xml><?xml version="1.0" encoding="utf-8"?>
<sst xmlns="http://schemas.openxmlformats.org/spreadsheetml/2006/main" count="1209" uniqueCount="390">
  <si>
    <t>Critères de sélection des nouveaux fournisseurs</t>
  </si>
  <si>
    <t>Critères d'évaluation des fournisseurs</t>
  </si>
  <si>
    <t>Satisfaisant</t>
  </si>
  <si>
    <t>Acceptable</t>
  </si>
  <si>
    <t>Non satisfaisant</t>
  </si>
  <si>
    <t>Non évalué</t>
  </si>
  <si>
    <t>Resp d'évaluation et sélection par famille</t>
  </si>
  <si>
    <t>Résultat d'évaluation</t>
  </si>
  <si>
    <t>A</t>
  </si>
  <si>
    <t>Note de sélection et évaluation</t>
  </si>
  <si>
    <t>B</t>
  </si>
  <si>
    <t>C</t>
  </si>
  <si>
    <t>Résulats de sélection et évaluation :</t>
  </si>
  <si>
    <t>Fournisseur à consulter en 2éme priorité à renforcer le suivi</t>
  </si>
  <si>
    <t>Fournisseur non fiable à consulter seulement par obligation et à renforcer le suivi</t>
  </si>
  <si>
    <t>Famille:</t>
  </si>
  <si>
    <t>Date de MAJ:</t>
  </si>
  <si>
    <t>Résultats de sélection</t>
  </si>
  <si>
    <t>Observations</t>
  </si>
  <si>
    <t>0</t>
  </si>
  <si>
    <t>0-1</t>
  </si>
  <si>
    <t>FOR-AC-11</t>
  </si>
  <si>
    <t>TABLEAU DE SELECTION ET D'EVALUATION DES FOURNISSEURS</t>
  </si>
  <si>
    <t>Taux de couverture du besoin fonctionnel</t>
  </si>
  <si>
    <t>Notoriété et référence</t>
  </si>
  <si>
    <t>Caractéristiques techniques exigées</t>
  </si>
  <si>
    <t>Niveau de qualité</t>
  </si>
  <si>
    <t>Prix</t>
  </si>
  <si>
    <t>Délai de livraison</t>
  </si>
  <si>
    <t>Mode de livraison</t>
  </si>
  <si>
    <t>Modalités de paiement</t>
  </si>
  <si>
    <t>Respect prix</t>
  </si>
  <si>
    <t>Respect delai</t>
  </si>
  <si>
    <t>Réactivité</t>
  </si>
  <si>
    <t>Assistance technique</t>
  </si>
  <si>
    <t>SAV</t>
  </si>
  <si>
    <t>Documentation technique</t>
  </si>
  <si>
    <t>&gt;2-3</t>
  </si>
  <si>
    <t>&gt;1-2</t>
  </si>
  <si>
    <t>Respect des exigences / fiche technique</t>
  </si>
  <si>
    <t>Fournisseur fiable à consulter en priorité</t>
  </si>
  <si>
    <t>Location des engins et transporteurs</t>
  </si>
  <si>
    <t>Comptabilité</t>
  </si>
  <si>
    <t>Matière première: Gazon</t>
  </si>
  <si>
    <t>Matière première: Bac à fleurs</t>
  </si>
  <si>
    <t>EQUIPEMENTS DE SECURITE &amp; OUTILLAGES DE CHANTIER</t>
  </si>
  <si>
    <t>BANCAIRE</t>
  </si>
  <si>
    <t>Sous-traitants</t>
  </si>
  <si>
    <t>Arrosage</t>
  </si>
  <si>
    <t>Mur végetal</t>
  </si>
  <si>
    <t>Matière première:Plantes</t>
  </si>
  <si>
    <t>Matière première:Terre végetale</t>
  </si>
  <si>
    <t>Equipements de sécurité</t>
  </si>
  <si>
    <t>Outillages de chantier</t>
  </si>
  <si>
    <t>Impression &amp;Tirage</t>
  </si>
  <si>
    <t>Loyer</t>
  </si>
  <si>
    <t>Location voitures</t>
  </si>
  <si>
    <t>Assurance</t>
  </si>
  <si>
    <t>Télècommunication</t>
  </si>
  <si>
    <t>Tourisme &amp;Voyage</t>
  </si>
  <si>
    <t>Routiers</t>
  </si>
  <si>
    <t>TRAX</t>
  </si>
  <si>
    <t>TRANSPORTEURS</t>
  </si>
  <si>
    <t>TELESCOPIE</t>
  </si>
  <si>
    <t>BOB CAT</t>
  </si>
  <si>
    <t>Transitaire</t>
  </si>
  <si>
    <t>Respect délai</t>
  </si>
  <si>
    <t>Proximité / Modalités de livraison</t>
  </si>
  <si>
    <t>Chauffeur qualifié</t>
  </si>
  <si>
    <t>Engins conformes</t>
  </si>
  <si>
    <t>Respect des exigences</t>
  </si>
  <si>
    <t xml:space="preserve">Respect des exigences </t>
  </si>
  <si>
    <t>Respect de délai</t>
  </si>
  <si>
    <t>Formation et audit (en basant sur les résultats d'évaluation de formation à chaud pour la formation et les rapports d'audit pour l'évaluation)</t>
  </si>
  <si>
    <t>Notoriété et référence
(Expérience et compéténces des intervenants et notorité de bureau)</t>
  </si>
  <si>
    <t>Code du Fournisseur</t>
  </si>
  <si>
    <t>Nom du Fournisseur</t>
  </si>
  <si>
    <t>N° d'identification au registre de commerce</t>
  </si>
  <si>
    <t>Adresse</t>
  </si>
  <si>
    <t>Personne à contacter</t>
  </si>
  <si>
    <t>N° de téléphone (Fixe/Mobile)</t>
  </si>
  <si>
    <t>E-mail</t>
  </si>
  <si>
    <t>Prochaine évaluation</t>
  </si>
  <si>
    <t>Date prévue</t>
  </si>
  <si>
    <t>Date réalisée</t>
  </si>
  <si>
    <t xml:space="preserve">Statut </t>
  </si>
  <si>
    <t>Légende</t>
  </si>
  <si>
    <t>SERVICES</t>
  </si>
  <si>
    <t>FR-001</t>
  </si>
  <si>
    <t>LES PEPINIERES DE LA TUNISIE</t>
  </si>
  <si>
    <t>1172568/ZNM/000</t>
  </si>
  <si>
    <t>JDIDA MAGHREBIA BOUARGOUB-HAMMAMET</t>
  </si>
  <si>
    <t>MRABET MOHAMED</t>
  </si>
  <si>
    <t>lespepinieres.tunisie@gnet.tn</t>
  </si>
  <si>
    <t>FR-002</t>
  </si>
  <si>
    <t>LES PEPINIERES DE CARTHAGE</t>
  </si>
  <si>
    <t>0739671/MNM/000</t>
  </si>
  <si>
    <t>ZINE INDUSTRIELLE BEN AROUS</t>
  </si>
  <si>
    <t>HAJER GMATI</t>
  </si>
  <si>
    <t>hajergmati@yahoo.fr</t>
  </si>
  <si>
    <t>FR-003</t>
  </si>
  <si>
    <t>PEPINIERE MOUNIR SMARI</t>
  </si>
  <si>
    <t>729 244/ Q N C / 000</t>
  </si>
  <si>
    <t xml:space="preserve">TURKI-GROMBALIA </t>
  </si>
  <si>
    <t>MOUNIR SMARI</t>
  </si>
  <si>
    <t>FR-008</t>
  </si>
  <si>
    <t>STE FLOWER GARDEN</t>
  </si>
  <si>
    <t>1213680/P B M/000</t>
  </si>
  <si>
    <t>Rue Ali Douagi Sidi Ameur 5061 Monastir</t>
  </si>
  <si>
    <t>MME IBTISSEM</t>
  </si>
  <si>
    <t>contact@flowergarden.com.tn</t>
  </si>
  <si>
    <t>FR-009</t>
  </si>
  <si>
    <t>STE GREEN  INTERNATIONAL</t>
  </si>
  <si>
    <t>1369347/A</t>
  </si>
  <si>
    <t>C1-083-5000 MONASTIR</t>
  </si>
  <si>
    <t>MR ANOUER</t>
  </si>
  <si>
    <t>green.international@gmail.com</t>
  </si>
  <si>
    <t>MME IMENE</t>
  </si>
  <si>
    <t>FR-022</t>
  </si>
  <si>
    <t>PEPINIERE YASMINE</t>
  </si>
  <si>
    <t>18 KM RTE TUNIS EL MHADBA BOUARGOUB-NABEUL</t>
  </si>
  <si>
    <t>FR-023</t>
  </si>
  <si>
    <t>PEPINIERE BARAKA</t>
  </si>
  <si>
    <t>MR AHMED</t>
  </si>
  <si>
    <t>FR-025</t>
  </si>
  <si>
    <t>SOCIETE LE MONDE DES JARDINS</t>
  </si>
  <si>
    <t>1363787/WNM/000</t>
  </si>
  <si>
    <t>ROUTE GROMBALIA BENI KHALED</t>
  </si>
  <si>
    <t>FR-026</t>
  </si>
  <si>
    <t>TAHER LAJNEF</t>
  </si>
  <si>
    <t>GABES</t>
  </si>
  <si>
    <t>MR TAHER</t>
  </si>
  <si>
    <t>NABEUL</t>
  </si>
  <si>
    <t>FR-138</t>
  </si>
  <si>
    <t>MR CHRISTIAN</t>
  </si>
  <si>
    <t>MORNAG</t>
  </si>
  <si>
    <t xml:space="preserve">MR CHIRISTIAN </t>
  </si>
  <si>
    <t>FR-150</t>
  </si>
  <si>
    <t xml:space="preserve">STE DE PROMOTION AGRICOLE MABROUKA </t>
  </si>
  <si>
    <t>433021/LNM/000</t>
  </si>
  <si>
    <t>NAASSEN-BEN AROUS</t>
  </si>
  <si>
    <t>MME AFIFA</t>
  </si>
  <si>
    <t>info@pepinieremabrouka.com</t>
  </si>
  <si>
    <t>FR-036</t>
  </si>
  <si>
    <t>STE GHARBI</t>
  </si>
  <si>
    <t>824650/LDM/000</t>
  </si>
  <si>
    <t>AVENUE MOHAMED V -BARRAKET SAHEL HAMMAMET</t>
  </si>
  <si>
    <t>MOHAMED GHARBI</t>
  </si>
  <si>
    <t>FR-093</t>
  </si>
  <si>
    <t>ETS SLAH LETAIEF</t>
  </si>
  <si>
    <t>249767/SPC/000</t>
  </si>
  <si>
    <t>ROUTE DE CEINTURE -HAMMAM SOUSSE</t>
  </si>
  <si>
    <t>TUNIS</t>
  </si>
  <si>
    <t>FR-029</t>
  </si>
  <si>
    <t>MOHAMED GUIDER</t>
  </si>
  <si>
    <t>913680/KCA/000</t>
  </si>
  <si>
    <t>NIANOU</t>
  </si>
  <si>
    <t>FR-030</t>
  </si>
  <si>
    <t>PERLA GROUPE</t>
  </si>
  <si>
    <t>1148193/XAM/000</t>
  </si>
  <si>
    <t>NOUVELLE ZONE PETROLIERE RADES 2040-RADES</t>
  </si>
  <si>
    <t>MME AFEF</t>
  </si>
  <si>
    <t>info@perla-group.com.tn</t>
  </si>
  <si>
    <t>SIDI HAMED-HAMAMMET</t>
  </si>
  <si>
    <t>CAP BON RESINE</t>
  </si>
  <si>
    <t>1677624/MAT/000</t>
  </si>
  <si>
    <t>MME SABRA</t>
  </si>
  <si>
    <t>0 27 99 10 83</t>
  </si>
  <si>
    <t>hammametresine@gmail.com</t>
  </si>
  <si>
    <t xml:space="preserve">VOGUE FURNITURE </t>
  </si>
  <si>
    <t>1497024/XBM/000</t>
  </si>
  <si>
    <t>DAR FADHAL SOKRA</t>
  </si>
  <si>
    <t>MME MUNA</t>
  </si>
  <si>
    <t>commercial.voguefurn@gamil,com</t>
  </si>
  <si>
    <t>AHMED BACCOUCHE</t>
  </si>
  <si>
    <t>ANIS KHEDHRI</t>
  </si>
  <si>
    <t>Produits phytosanitaire</t>
  </si>
  <si>
    <t>FR-038</t>
  </si>
  <si>
    <t>STE GREEN TOUCH</t>
  </si>
  <si>
    <t>zone portuaire 2040Tunisie Radès, 2040</t>
  </si>
  <si>
    <t>FR-039</t>
  </si>
  <si>
    <t>STE HUMUS</t>
  </si>
  <si>
    <t>004968/TAM/000</t>
  </si>
  <si>
    <t>Route Beni Khaled km 1,5 -8030 Grombalia</t>
  </si>
  <si>
    <t>humus@planet.tn</t>
  </si>
  <si>
    <t>FR-123</t>
  </si>
  <si>
    <t>STE EVOLUTION AGRICOLE</t>
  </si>
  <si>
    <t>1116914/GMD/000</t>
  </si>
  <si>
    <t>ROUTE TOURISTIQUE CHAT MARIEM</t>
  </si>
  <si>
    <t>98570222/73327058</t>
  </si>
  <si>
    <t>Proximité / Multi dépôt</t>
  </si>
  <si>
    <t>FR-040</t>
  </si>
  <si>
    <t>STE CAMELOEN (impression tenus)</t>
  </si>
  <si>
    <t>1372408/WCN/000</t>
  </si>
  <si>
    <t>Rue Victor Hugo Imm Mahjoub 4 eme étage App D1 -Sousse</t>
  </si>
  <si>
    <t>Mme HONAYDA</t>
  </si>
  <si>
    <t>cameleonplus@gmail.com</t>
  </si>
  <si>
    <t>STE UNIFIRME PLUS</t>
  </si>
  <si>
    <t>FR-053</t>
  </si>
  <si>
    <t>MR JAMEL</t>
  </si>
  <si>
    <t>jameleddine.saada@tlf.com.tn</t>
  </si>
  <si>
    <t>FR-054</t>
  </si>
  <si>
    <t>CIL LEASING</t>
  </si>
  <si>
    <t>123 Avenue Habib Thameur 8000 Nabeul - NABEUL</t>
  </si>
  <si>
    <t>MR AYMEN</t>
  </si>
  <si>
    <t>FR-055</t>
  </si>
  <si>
    <t>CITROEN</t>
  </si>
  <si>
    <t>000271/YAM/000</t>
  </si>
  <si>
    <t xml:space="preserve">Route fde Tunis km 4,5 -8000 Nabeul </t>
  </si>
  <si>
    <t>MR MOEZ</t>
  </si>
  <si>
    <t>moezchennoufi1@gmail.com</t>
  </si>
  <si>
    <t>TUNISIE LEASING &amp; FACTORING</t>
  </si>
  <si>
    <t>PARC AUTOMOBILE</t>
  </si>
  <si>
    <t>EQUIPEMENTS BUREAUTIQUES ET INFORMATIQUES</t>
  </si>
  <si>
    <t>FR-057</t>
  </si>
  <si>
    <t>ART DU BUREAU</t>
  </si>
  <si>
    <t>1046855/YBC/000</t>
  </si>
  <si>
    <t>Nabeul</t>
  </si>
  <si>
    <t>Nabil SOMAII</t>
  </si>
  <si>
    <t>FR-099</t>
  </si>
  <si>
    <t>INFOTEC</t>
  </si>
  <si>
    <t>Ave. Jdeida Magherbia, Nabeul‎</t>
  </si>
  <si>
    <t>FR-059</t>
  </si>
  <si>
    <t>CONECT RSE</t>
  </si>
  <si>
    <t>BUREAU CONECT</t>
  </si>
  <si>
    <t>MR SOFIENE/MR SADOK</t>
  </si>
  <si>
    <t>sofien.hathout@hotmail.com//naifers@yahoo.fr</t>
  </si>
  <si>
    <t>FR-094</t>
  </si>
  <si>
    <t>TUNIPAGES</t>
  </si>
  <si>
    <t>1015927/BAM/000</t>
  </si>
  <si>
    <t>Avenue taieb mhiri immeuble el makateb 1 ere étage Bureau N°03-5000 Monastir-tunisie</t>
  </si>
  <si>
    <t>MME AMINA</t>
  </si>
  <si>
    <t>commercial@tunipages.tn</t>
  </si>
  <si>
    <t>FR-100</t>
  </si>
  <si>
    <t>BUREAU VERITAS CERTIFICATION TUNISIA</t>
  </si>
  <si>
    <t>012717/XAM/000</t>
  </si>
  <si>
    <t>Les berges du lac,angle rue lac Malaren et Rue Ghar el melh tunis-1080</t>
  </si>
  <si>
    <t>MME ABIR RAIS</t>
  </si>
  <si>
    <t>abir.rais@tn.bureauveritas.com</t>
  </si>
  <si>
    <t>FR-139</t>
  </si>
  <si>
    <t>TUNISAIR</t>
  </si>
  <si>
    <t>MR MOHAMED</t>
  </si>
  <si>
    <t>FR-063</t>
  </si>
  <si>
    <t xml:space="preserve">CO.FI.GES </t>
  </si>
  <si>
    <t>MR NOOMAN CHAOUCH</t>
  </si>
  <si>
    <t>FR-064</t>
  </si>
  <si>
    <t>TUNISIE AUTOROUTES</t>
  </si>
  <si>
    <t>381461/VAM/000</t>
  </si>
  <si>
    <t>FR-065</t>
  </si>
  <si>
    <t>STE PRINT SERVICES</t>
  </si>
  <si>
    <t>Rue Sidi Ben Aissa Sur  Rue de France NABEUL</t>
  </si>
  <si>
    <t>MME AHLEM</t>
  </si>
  <si>
    <t>72 220720--23865 569</t>
  </si>
  <si>
    <t>ahlem.chaieb@yahoo.fr</t>
  </si>
  <si>
    <t>FR-067</t>
  </si>
  <si>
    <t>STE GRAFIKO</t>
  </si>
  <si>
    <t>Rue Habib Thameur Nabeul</t>
  </si>
  <si>
    <t>Mr sofiene Mayara</t>
  </si>
  <si>
    <t>29 280 240--72 285 589</t>
  </si>
  <si>
    <t>grafiko.impression@yahoo.fr</t>
  </si>
  <si>
    <t>FR-068</t>
  </si>
  <si>
    <t>IMPRIMERIE DU CAP BON</t>
  </si>
  <si>
    <t>16-Rue de la Révolution-8000 Nabeul</t>
  </si>
  <si>
    <t>Mme Jihene</t>
  </si>
  <si>
    <t>icb@topnet.tn</t>
  </si>
  <si>
    <t>FR-071</t>
  </si>
  <si>
    <t>ALI KHALBOUS</t>
  </si>
  <si>
    <t>21 Avenu de la liberté Menzeh V</t>
  </si>
  <si>
    <t xml:space="preserve">MR ALI </t>
  </si>
  <si>
    <t>FR-072</t>
  </si>
  <si>
    <t>RAOUF SAID</t>
  </si>
  <si>
    <t>30,Rue des juges EL MENZEH 6</t>
  </si>
  <si>
    <t>MR ABDROUF</t>
  </si>
  <si>
    <t>20378188 ---98827173</t>
  </si>
  <si>
    <t>raouf.said2@gmail.com</t>
  </si>
  <si>
    <t>FR-103</t>
  </si>
  <si>
    <t>Agence Mrezgua Centre Hotel El manar Mrezgua</t>
  </si>
  <si>
    <t>FR-104</t>
  </si>
  <si>
    <t>ASSURANCE BIAT</t>
  </si>
  <si>
    <t>Imm Lotfi Hichri, 110 Rue Hedi Chaker - 8000 Nabeul</t>
  </si>
  <si>
    <t xml:space="preserve">ag.nabeul@assurancesbiat.com.tn </t>
  </si>
  <si>
    <t>FR-106</t>
  </si>
  <si>
    <t>56 Av. Ali Belhouane-Nabeul-8000</t>
  </si>
  <si>
    <t>MR DAOUED IMEDEDDINE</t>
  </si>
  <si>
    <t>FR-107</t>
  </si>
  <si>
    <t>OOREDOO</t>
  </si>
  <si>
    <t>FR-108</t>
  </si>
  <si>
    <t>TUNISIE TELECOM</t>
  </si>
  <si>
    <t>FR-141</t>
  </si>
  <si>
    <t>GLOBAL NET</t>
  </si>
  <si>
    <t>SERVICE TECHNIQUE/SERVICE FINANCIER</t>
  </si>
  <si>
    <t>70132135--70132133</t>
  </si>
  <si>
    <t xml:space="preserve">financier@globalnet.tn </t>
  </si>
  <si>
    <t>FR-129</t>
  </si>
  <si>
    <t>sahbi.soussi@gmail.com</t>
  </si>
  <si>
    <t>Transport maritime import-export</t>
  </si>
  <si>
    <t>FR-130</t>
  </si>
  <si>
    <t xml:space="preserve">BOLORETRANSPORT ET LOGISTICS </t>
  </si>
  <si>
    <t>520229/PAM/000</t>
  </si>
  <si>
    <t>Z-I RADES SALINE,1125-TUNISIE</t>
  </si>
  <si>
    <t xml:space="preserve">MR WISSEM COMPTABLE </t>
  </si>
  <si>
    <t>36104300/36 104 311</t>
  </si>
  <si>
    <t>FR-131</t>
  </si>
  <si>
    <t>GERMANETTI TUNISIE</t>
  </si>
  <si>
    <t>26692/DAM/000</t>
  </si>
  <si>
    <t xml:space="preserve">Zone portiere Route du Port 2040-Rades </t>
  </si>
  <si>
    <t>71 449 651/71 449631</t>
  </si>
  <si>
    <t>souhir@atvyl.com</t>
  </si>
  <si>
    <t>FR-132</t>
  </si>
  <si>
    <t>ATVYL TUNISIE</t>
  </si>
  <si>
    <t>788515/AM/000</t>
  </si>
  <si>
    <t xml:space="preserve">Z-I RADES SALINE,Route du Bac 2040-Rades </t>
  </si>
  <si>
    <t>MME SOUHIR</t>
  </si>
  <si>
    <t>souhir@atvyl.com//info@atvyltunisie.com</t>
  </si>
  <si>
    <t>ZAYTOUNA BANK</t>
  </si>
  <si>
    <t>Agence Mrezgua</t>
  </si>
  <si>
    <t>MR SOFIEN SAHRAOUI</t>
  </si>
  <si>
    <t>MR MOHAMED MEHREZ</t>
  </si>
  <si>
    <t>FR-073</t>
  </si>
  <si>
    <t xml:space="preserve">MOUHIDDINE BEN SLIMEN </t>
  </si>
  <si>
    <t>MOUHIDDINE</t>
  </si>
  <si>
    <t>FR-080</t>
  </si>
  <si>
    <t>STE EL WAFA</t>
  </si>
  <si>
    <t>1196384/WAM/000</t>
  </si>
  <si>
    <t>El baranoussa-8000 Nabeul</t>
  </si>
  <si>
    <t xml:space="preserve">Mr </t>
  </si>
  <si>
    <t>PPM</t>
  </si>
  <si>
    <t>FR-145</t>
  </si>
  <si>
    <t>NOURDDINE</t>
  </si>
  <si>
    <t>Mr Nourddine</t>
  </si>
  <si>
    <t>FENWICK</t>
  </si>
  <si>
    <t>FR-137</t>
  </si>
  <si>
    <t>EZZIDINE</t>
  </si>
  <si>
    <t>BOUARGOUB</t>
  </si>
  <si>
    <t>EZZDINE</t>
  </si>
  <si>
    <t>FATHI HERMI</t>
  </si>
  <si>
    <t>FR-089</t>
  </si>
  <si>
    <t>SUNDAR ITALIA</t>
  </si>
  <si>
    <t>sede legale, laboratorio e green house: Via dell'Artigianato 3 -36040 Meledo Di Sarego (VI)</t>
  </si>
  <si>
    <t>MR ALESSANDRO</t>
  </si>
  <si>
    <t xml:space="preserve">info@sundaritalia.com </t>
  </si>
  <si>
    <t>FR-102</t>
  </si>
  <si>
    <t>MOSSTREND</t>
  </si>
  <si>
    <t>Via R.Reali, 8 - Z.I. Terrafino - 50053 EMPOLI (FI)</t>
  </si>
  <si>
    <t>MR JEREMY</t>
  </si>
  <si>
    <t>+39 0571 932164  </t>
  </si>
  <si>
    <t xml:space="preserve">contact@mosstrend.com </t>
  </si>
  <si>
    <t>Fev 2025</t>
  </si>
  <si>
    <t>ISSAM AMMAR</t>
  </si>
  <si>
    <t>ACCESS MANAGEMENT</t>
  </si>
  <si>
    <t xml:space="preserve">Mr Adel Blidi </t>
  </si>
  <si>
    <t>adelblidi@gmail.com</t>
  </si>
  <si>
    <t xml:space="preserve"> 0 22 28 92 62</t>
  </si>
  <si>
    <t>NOVOTEL</t>
  </si>
  <si>
    <t>Tunis</t>
  </si>
  <si>
    <t>RESIFIB</t>
  </si>
  <si>
    <t>WISSEM BEN ALI</t>
  </si>
  <si>
    <t>ZIED MEDEB</t>
  </si>
  <si>
    <t>FATY FLOWER</t>
  </si>
  <si>
    <t>STE HAOUAS</t>
  </si>
  <si>
    <t>JABNOUN</t>
  </si>
  <si>
    <t>LES ORANGERSGARDEN</t>
  </si>
  <si>
    <t>Hammamet</t>
  </si>
  <si>
    <t>KARAMA TRAVEL</t>
  </si>
  <si>
    <t>RIMES TRAVEL</t>
  </si>
  <si>
    <t>BIAT</t>
  </si>
  <si>
    <t>ZAYTOUNA TAKAFEL</t>
  </si>
  <si>
    <t>FR-151</t>
  </si>
  <si>
    <t>FR-031</t>
  </si>
  <si>
    <t>FR-116</t>
  </si>
  <si>
    <t>FR-117</t>
  </si>
  <si>
    <t>FR-156</t>
  </si>
  <si>
    <t>FR-157</t>
  </si>
  <si>
    <t>FR-158</t>
  </si>
  <si>
    <t>FR-159</t>
  </si>
  <si>
    <t>FR-160</t>
  </si>
  <si>
    <t>FR-161</t>
  </si>
  <si>
    <t>FR-162</t>
  </si>
  <si>
    <t>FR-163</t>
  </si>
  <si>
    <t>FR-164</t>
  </si>
  <si>
    <t>FR-165</t>
  </si>
  <si>
    <t>FR-166</t>
  </si>
  <si>
    <t>FR-167</t>
  </si>
  <si>
    <t>FR-168</t>
  </si>
  <si>
    <t>FR-169</t>
  </si>
  <si>
    <t>ZIED MEDDEB</t>
  </si>
  <si>
    <t>0 25 47 83 09</t>
  </si>
  <si>
    <t>1520333/WNM/000</t>
  </si>
  <si>
    <t>11 AVENUE DAR FADHAL, LA SOUKRA</t>
  </si>
  <si>
    <t>0 28 57 43 25</t>
  </si>
</sst>
</file>

<file path=xl/styles.xml><?xml version="1.0" encoding="utf-8"?>
<styleSheet xmlns="http://schemas.openxmlformats.org/spreadsheetml/2006/main">
  <numFmts count="1">
    <numFmt numFmtId="164" formatCode="0#&quot; &quot;##&quot; &quot;##&quot; &quot;##&quot; &quot;##"/>
  </numFmts>
  <fonts count="26">
    <font>
      <sz val="10"/>
      <name val="Arial"/>
    </font>
    <font>
      <b/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8"/>
      <name val="Times New Roman"/>
      <family val="1"/>
    </font>
    <font>
      <b/>
      <sz val="1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u/>
      <sz val="15"/>
      <color theme="1"/>
      <name val="Book Antiqua"/>
      <family val="1"/>
    </font>
    <font>
      <sz val="8"/>
      <name val="Arial"/>
      <family val="2"/>
    </font>
    <font>
      <b/>
      <sz val="8"/>
      <name val="Times New Roman"/>
      <family val="1"/>
    </font>
    <font>
      <u/>
      <sz val="10"/>
      <color theme="10"/>
      <name val="Calibri"/>
      <family val="2"/>
    </font>
    <font>
      <u/>
      <sz val="10"/>
      <color theme="10"/>
      <name val="Arial"/>
      <family val="2"/>
    </font>
    <font>
      <sz val="7"/>
      <name val="Arial"/>
      <family val="2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/>
    </xf>
    <xf numFmtId="0" fontId="16" fillId="0" borderId="1" xfId="1" applyFont="1" applyBorder="1" applyAlignment="1" applyProtection="1">
      <alignment horizontal="center" vertical="center"/>
    </xf>
    <xf numFmtId="0" fontId="13" fillId="0" borderId="1" xfId="1" applyFont="1" applyBorder="1" applyAlignment="1" applyProtection="1">
      <alignment horizontal="center" vertical="center"/>
    </xf>
    <xf numFmtId="0" fontId="17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2" fillId="0" borderId="0" xfId="0" applyFont="1" applyAlignment="1"/>
    <xf numFmtId="0" fontId="18" fillId="0" borderId="0" xfId="0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/>
    <xf numFmtId="0" fontId="5" fillId="0" borderId="0" xfId="0" applyFont="1" applyAlignment="1"/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 wrapText="1"/>
    </xf>
    <xf numFmtId="0" fontId="16" fillId="0" borderId="3" xfId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4" fontId="13" fillId="0" borderId="1" xfId="0" quotePrefix="1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5" fillId="0" borderId="1" xfId="1" applyBorder="1" applyAlignment="1" applyProtection="1">
      <alignment horizontal="center" vertical="center" wrapText="1"/>
    </xf>
    <xf numFmtId="0" fontId="13" fillId="0" borderId="1" xfId="1" applyFont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0" fillId="0" borderId="1" xfId="1" applyFont="1" applyBorder="1" applyAlignment="1" applyProtection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21" fillId="0" borderId="1" xfId="1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1" fillId="0" borderId="1" xfId="1" applyFont="1" applyBorder="1" applyAlignment="1" applyProtection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5" fillId="0" borderId="1" xfId="1" applyBorder="1" applyAlignment="1" applyProtection="1">
      <alignment horizontal="center" vertical="center"/>
    </xf>
    <xf numFmtId="0" fontId="20" fillId="0" borderId="1" xfId="1" applyFont="1" applyBorder="1" applyAlignment="1" applyProtection="1">
      <alignment horizontal="center" vertical="center"/>
    </xf>
    <xf numFmtId="0" fontId="16" fillId="0" borderId="1" xfId="1" applyFont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1" fillId="0" borderId="0" xfId="1" applyFont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3" fontId="2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7" fontId="12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18" fillId="0" borderId="7" xfId="0" applyFont="1" applyBorder="1"/>
    <xf numFmtId="0" fontId="18" fillId="0" borderId="8" xfId="0" applyFont="1" applyBorder="1"/>
    <xf numFmtId="0" fontId="18" fillId="0" borderId="9" xfId="0" applyFont="1" applyBorder="1"/>
    <xf numFmtId="0" fontId="5" fillId="5" borderId="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117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56649</xdr:colOff>
      <xdr:row>0</xdr:row>
      <xdr:rowOff>65617</xdr:rowOff>
    </xdr:from>
    <xdr:to>
      <xdr:col>0</xdr:col>
      <xdr:colOff>751418</xdr:colOff>
      <xdr:row>1</xdr:row>
      <xdr:rowOff>284692</xdr:rowOff>
    </xdr:to>
    <xdr:pic>
      <xdr:nvPicPr>
        <xdr:cNvPr id="1153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6649" y="65617"/>
          <a:ext cx="694769" cy="536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106279</xdr:rowOff>
    </xdr:from>
    <xdr:to>
      <xdr:col>1</xdr:col>
      <xdr:colOff>276243</xdr:colOff>
      <xdr:row>1</xdr:row>
      <xdr:rowOff>325354</xdr:rowOff>
    </xdr:to>
    <xdr:pic>
      <xdr:nvPicPr>
        <xdr:cNvPr id="14384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106279"/>
          <a:ext cx="1098401" cy="529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76200</xdr:rowOff>
    </xdr:from>
    <xdr:to>
      <xdr:col>0</xdr:col>
      <xdr:colOff>799741</xdr:colOff>
      <xdr:row>1</xdr:row>
      <xdr:rowOff>295275</xdr:rowOff>
    </xdr:to>
    <xdr:pic>
      <xdr:nvPicPr>
        <xdr:cNvPr id="2132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" y="76200"/>
          <a:ext cx="799740" cy="53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85186</xdr:rowOff>
    </xdr:from>
    <xdr:to>
      <xdr:col>0</xdr:col>
      <xdr:colOff>771165</xdr:colOff>
      <xdr:row>1</xdr:row>
      <xdr:rowOff>304261</xdr:rowOff>
    </xdr:to>
    <xdr:pic>
      <xdr:nvPicPr>
        <xdr:cNvPr id="3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85186"/>
          <a:ext cx="771165" cy="53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8986</xdr:colOff>
      <xdr:row>0</xdr:row>
      <xdr:rowOff>67214</xdr:rowOff>
    </xdr:from>
    <xdr:to>
      <xdr:col>0</xdr:col>
      <xdr:colOff>780151</xdr:colOff>
      <xdr:row>1</xdr:row>
      <xdr:rowOff>286289</xdr:rowOff>
    </xdr:to>
    <xdr:pic>
      <xdr:nvPicPr>
        <xdr:cNvPr id="3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8986" y="67214"/>
          <a:ext cx="771165" cy="53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3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6958" y="67214"/>
          <a:ext cx="761640" cy="53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4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725283" y="67214"/>
          <a:ext cx="761640" cy="53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5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390537" y="67214"/>
          <a:ext cx="761640" cy="529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4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386013" y="67214"/>
          <a:ext cx="761640" cy="532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4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389766" y="67214"/>
          <a:ext cx="761640" cy="5341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5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225035" y="67214"/>
          <a:ext cx="761640" cy="5330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26958</xdr:colOff>
      <xdr:row>0</xdr:row>
      <xdr:rowOff>67214</xdr:rowOff>
    </xdr:from>
    <xdr:to>
      <xdr:col>0</xdr:col>
      <xdr:colOff>788598</xdr:colOff>
      <xdr:row>1</xdr:row>
      <xdr:rowOff>286289</xdr:rowOff>
    </xdr:to>
    <xdr:pic>
      <xdr:nvPicPr>
        <xdr:cNvPr id="4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408083" y="67214"/>
          <a:ext cx="76164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spepinieres.tunisie@gnet.tn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contact@flowergarden.com.tn" TargetMode="External"/><Relationship Id="rId1" Type="http://schemas.openxmlformats.org/officeDocument/2006/relationships/hyperlink" Target="mailto:green.international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nfo@pepinieremabrouka.com" TargetMode="External"/><Relationship Id="rId4" Type="http://schemas.openxmlformats.org/officeDocument/2006/relationships/hyperlink" Target="mailto:hajergmati@yahoo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info@perla-group.com.t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commercial.voguefurn@gamil,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humus@planet.t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cameleonplus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jameleddine.saada@tlf.com.tn" TargetMode="External"/><Relationship Id="rId2" Type="http://schemas.openxmlformats.org/officeDocument/2006/relationships/hyperlink" Target="tel:72%20272%20656%20/%2072%20220%20509" TargetMode="External"/><Relationship Id="rId1" Type="http://schemas.openxmlformats.org/officeDocument/2006/relationships/hyperlink" Target="mailto:moezchennoufi1@gmail.com" TargetMode="Externa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ag.nabeul@assurancesbiat.com.tn" TargetMode="External"/><Relationship Id="rId13" Type="http://schemas.openxmlformats.org/officeDocument/2006/relationships/hyperlink" Target="mailto:adelblidi@gmail.com" TargetMode="External"/><Relationship Id="rId3" Type="http://schemas.openxmlformats.org/officeDocument/2006/relationships/hyperlink" Target="mailto:sofien.hathout@hotmail.com//naifers@yahoo.fr" TargetMode="External"/><Relationship Id="rId7" Type="http://schemas.openxmlformats.org/officeDocument/2006/relationships/hyperlink" Target="mailto:raouf.said2@gmail.com" TargetMode="External"/><Relationship Id="rId12" Type="http://schemas.openxmlformats.org/officeDocument/2006/relationships/hyperlink" Target="mailto:souhir@atvyl.com" TargetMode="External"/><Relationship Id="rId2" Type="http://schemas.openxmlformats.org/officeDocument/2006/relationships/hyperlink" Target="mailto:abir.rais@tn.bureauveritas.com" TargetMode="External"/><Relationship Id="rId1" Type="http://schemas.openxmlformats.org/officeDocument/2006/relationships/hyperlink" Target="mailto:commercial@tunipages.tn" TargetMode="External"/><Relationship Id="rId6" Type="http://schemas.openxmlformats.org/officeDocument/2006/relationships/hyperlink" Target="mailto:icb@topnet.tn" TargetMode="External"/><Relationship Id="rId11" Type="http://schemas.openxmlformats.org/officeDocument/2006/relationships/hyperlink" Target="mailto:souhir@atvyl.com//info@atvyltunisie.com" TargetMode="External"/><Relationship Id="rId5" Type="http://schemas.openxmlformats.org/officeDocument/2006/relationships/hyperlink" Target="mailto:grafiko.impression@yahoo.fr" TargetMode="External"/><Relationship Id="rId15" Type="http://schemas.openxmlformats.org/officeDocument/2006/relationships/drawing" Target="../drawings/drawing10.xml"/><Relationship Id="rId10" Type="http://schemas.openxmlformats.org/officeDocument/2006/relationships/hyperlink" Target="mailto:sahbi.soussi@gmail.com" TargetMode="External"/><Relationship Id="rId4" Type="http://schemas.openxmlformats.org/officeDocument/2006/relationships/hyperlink" Target="mailto:ahlem.chaieb@yahoo.fr" TargetMode="External"/><Relationship Id="rId9" Type="http://schemas.openxmlformats.org/officeDocument/2006/relationships/hyperlink" Target="mailto:financier@globalnet.tn" TargetMode="External"/><Relationship Id="rId14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contact@mosstrend.com" TargetMode="External"/><Relationship Id="rId1" Type="http://schemas.openxmlformats.org/officeDocument/2006/relationships/hyperlink" Target="mailto:info@sundaritalia.com" TargetMode="External"/><Relationship Id="rId4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"/>
  <sheetViews>
    <sheetView view="pageBreakPreview" topLeftCell="E5" zoomScale="80" zoomScaleNormal="106" zoomScaleSheetLayoutView="80" workbookViewId="0">
      <selection activeCell="W16" sqref="W16:X16"/>
    </sheetView>
  </sheetViews>
  <sheetFormatPr baseColWidth="10" defaultColWidth="11.5703125" defaultRowHeight="12.75"/>
  <cols>
    <col min="1" max="1" width="12.28515625" style="9" customWidth="1"/>
    <col min="2" max="2" width="30.8554687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29.5703125" customWidth="1"/>
    <col min="8" max="8" width="11.7109375" style="10" customWidth="1"/>
    <col min="9" max="9" width="11.85546875" style="10" customWidth="1"/>
    <col min="10" max="10" width="5.85546875" style="10" customWidth="1"/>
    <col min="11" max="12" width="8.85546875" style="10" customWidth="1"/>
    <col min="13" max="14" width="10" style="10" customWidth="1"/>
    <col min="15" max="15" width="9.5703125" style="10" customWidth="1"/>
    <col min="16" max="16" width="7.140625" style="10" customWidth="1"/>
    <col min="17" max="19" width="10.42578125" style="10" customWidth="1"/>
    <col min="20" max="21" width="10.85546875" style="10" customWidth="1"/>
    <col min="22" max="22" width="7.85546875" customWidth="1"/>
    <col min="23" max="24" width="11.42578125" customWidth="1"/>
    <col min="25" max="25" width="16" style="10" customWidth="1"/>
    <col min="26" max="29" width="11.5703125" style="10"/>
    <col min="30" max="44" width="11.5703125" style="11"/>
    <col min="45" max="16384" width="11.5703125" style="12"/>
  </cols>
  <sheetData>
    <row r="1" spans="1:44" s="33" customFormat="1" ht="24.75" customHeight="1">
      <c r="A1" s="160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157" t="s">
        <v>21</v>
      </c>
      <c r="V1" s="158"/>
      <c r="W1" s="158"/>
      <c r="X1" s="158"/>
      <c r="Y1" s="159"/>
    </row>
    <row r="2" spans="1:44" s="33" customFormat="1" ht="27" customHeight="1">
      <c r="A2" s="160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7"/>
      <c r="U2" s="157">
        <v>3</v>
      </c>
      <c r="V2" s="158"/>
      <c r="W2" s="158"/>
      <c r="X2" s="158"/>
      <c r="Y2" s="159"/>
    </row>
    <row r="3" spans="1:44" s="33" customFormat="1" ht="8.1" customHeight="1">
      <c r="A3" s="31"/>
      <c r="B3" s="31"/>
      <c r="C3" s="42"/>
      <c r="D3" s="42"/>
      <c r="E3" s="42"/>
      <c r="F3" s="42"/>
      <c r="G3" s="42"/>
      <c r="H3" s="13"/>
      <c r="I3" s="13"/>
      <c r="J3" s="17"/>
      <c r="K3" s="17"/>
      <c r="L3" s="17"/>
      <c r="M3" s="17"/>
      <c r="N3" s="17"/>
      <c r="O3" s="17"/>
      <c r="P3" s="17"/>
      <c r="Q3" s="17"/>
      <c r="R3" s="34"/>
      <c r="S3" s="1"/>
      <c r="T3" s="1"/>
      <c r="U3" s="1"/>
      <c r="V3" s="42"/>
      <c r="W3" s="50"/>
      <c r="X3" s="50"/>
      <c r="Y3" s="34"/>
      <c r="AB3" s="2"/>
    </row>
    <row r="4" spans="1:44" s="33" customFormat="1" ht="30.75" customHeight="1">
      <c r="A4" s="22" t="s">
        <v>15</v>
      </c>
      <c r="B4" s="21" t="s">
        <v>50</v>
      </c>
      <c r="C4" s="30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4"/>
      <c r="S4" s="1"/>
      <c r="T4" s="1"/>
      <c r="U4" s="1"/>
      <c r="V4" s="46"/>
      <c r="W4" s="46"/>
      <c r="X4" s="46"/>
      <c r="Y4" s="34"/>
      <c r="AB4" s="2"/>
    </row>
    <row r="5" spans="1:44" s="36" customFormat="1" ht="6.6" customHeigh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/>
      <c r="W5"/>
      <c r="X5"/>
      <c r="Y5" s="2"/>
      <c r="Z5" s="2"/>
      <c r="AA5" s="2"/>
      <c r="AB5" s="2"/>
      <c r="AC5" s="2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s="5" customFormat="1" ht="36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165"/>
      <c r="Q6" s="161" t="s">
        <v>1</v>
      </c>
      <c r="R6" s="162"/>
      <c r="S6" s="163"/>
      <c r="T6" s="164" t="s">
        <v>7</v>
      </c>
      <c r="U6" s="165"/>
      <c r="V6" s="168" t="s">
        <v>85</v>
      </c>
      <c r="W6" s="161" t="s">
        <v>82</v>
      </c>
      <c r="X6" s="162"/>
      <c r="Y6" s="168" t="s">
        <v>18</v>
      </c>
    </row>
    <row r="7" spans="1:44" s="5" customFormat="1" ht="57.75" customHeight="1">
      <c r="A7" s="168"/>
      <c r="B7" s="168"/>
      <c r="C7" s="168"/>
      <c r="D7" s="168"/>
      <c r="E7" s="168"/>
      <c r="F7" s="168"/>
      <c r="G7" s="168"/>
      <c r="H7" s="95" t="s">
        <v>23</v>
      </c>
      <c r="I7" s="95" t="s">
        <v>26</v>
      </c>
      <c r="J7" s="52" t="s">
        <v>27</v>
      </c>
      <c r="K7" s="52" t="s">
        <v>28</v>
      </c>
      <c r="L7" s="52" t="s">
        <v>29</v>
      </c>
      <c r="M7" s="52" t="s">
        <v>30</v>
      </c>
      <c r="N7" s="53" t="s">
        <v>67</v>
      </c>
      <c r="O7" s="166"/>
      <c r="P7" s="167"/>
      <c r="Q7" s="53" t="s">
        <v>70</v>
      </c>
      <c r="R7" s="53" t="s">
        <v>31</v>
      </c>
      <c r="S7" s="53" t="s">
        <v>32</v>
      </c>
      <c r="T7" s="166"/>
      <c r="U7" s="167"/>
      <c r="V7" s="168"/>
      <c r="W7" s="53" t="s">
        <v>83</v>
      </c>
      <c r="X7" s="53" t="s">
        <v>84</v>
      </c>
      <c r="Y7" s="168"/>
    </row>
    <row r="8" spans="1:44" s="7" customFormat="1" ht="31.5" customHeight="1">
      <c r="A8" s="37" t="s">
        <v>88</v>
      </c>
      <c r="B8" s="84" t="s">
        <v>89</v>
      </c>
      <c r="C8" s="45" t="s">
        <v>90</v>
      </c>
      <c r="D8" s="45" t="s">
        <v>91</v>
      </c>
      <c r="E8" s="45" t="s">
        <v>92</v>
      </c>
      <c r="F8" s="85">
        <v>26350300</v>
      </c>
      <c r="G8" s="107" t="s">
        <v>93</v>
      </c>
      <c r="H8" s="51">
        <v>2</v>
      </c>
      <c r="I8" s="51">
        <v>3</v>
      </c>
      <c r="J8" s="51">
        <v>3</v>
      </c>
      <c r="K8" s="106">
        <v>3</v>
      </c>
      <c r="L8" s="51">
        <v>3</v>
      </c>
      <c r="M8" s="51">
        <v>3</v>
      </c>
      <c r="N8" s="51">
        <v>3</v>
      </c>
      <c r="O8" s="103">
        <f>AVERAGE(H8:N8)</f>
        <v>2.8571428571428572</v>
      </c>
      <c r="P8" s="105" t="s">
        <v>8</v>
      </c>
      <c r="Q8" s="51">
        <v>3</v>
      </c>
      <c r="R8" s="51">
        <v>2</v>
      </c>
      <c r="S8" s="51">
        <v>3</v>
      </c>
      <c r="T8" s="103">
        <f t="shared" ref="T8:T18" si="0">AVERAGE(Q8:S8)</f>
        <v>2.6666666666666665</v>
      </c>
      <c r="U8" s="105" t="s">
        <v>8</v>
      </c>
      <c r="V8" s="101" t="s">
        <v>8</v>
      </c>
      <c r="W8" s="150" t="s">
        <v>347</v>
      </c>
      <c r="X8" s="108">
        <v>45917</v>
      </c>
      <c r="Y8" s="105"/>
    </row>
    <row r="9" spans="1:44" s="7" customFormat="1" ht="31.5" customHeight="1">
      <c r="A9" s="37" t="s">
        <v>94</v>
      </c>
      <c r="B9" s="84" t="s">
        <v>95</v>
      </c>
      <c r="C9" s="45" t="s">
        <v>96</v>
      </c>
      <c r="D9" s="45" t="s">
        <v>97</v>
      </c>
      <c r="E9" s="45" t="s">
        <v>98</v>
      </c>
      <c r="F9" s="85">
        <v>26274034</v>
      </c>
      <c r="G9" s="107" t="s">
        <v>99</v>
      </c>
      <c r="H9" s="51">
        <v>3</v>
      </c>
      <c r="I9" s="51">
        <v>3</v>
      </c>
      <c r="J9" s="51">
        <v>2</v>
      </c>
      <c r="K9" s="106">
        <v>3</v>
      </c>
      <c r="L9" s="51">
        <v>3</v>
      </c>
      <c r="M9" s="51">
        <v>2</v>
      </c>
      <c r="N9" s="51">
        <v>2</v>
      </c>
      <c r="O9" s="103">
        <f t="shared" ref="O9:O18" si="1">AVERAGE(H9:N9)</f>
        <v>2.5714285714285716</v>
      </c>
      <c r="P9" s="105" t="s">
        <v>8</v>
      </c>
      <c r="Q9" s="51">
        <v>3</v>
      </c>
      <c r="R9" s="51">
        <v>2</v>
      </c>
      <c r="S9" s="51">
        <v>3</v>
      </c>
      <c r="T9" s="103">
        <f t="shared" si="0"/>
        <v>2.6666666666666665</v>
      </c>
      <c r="U9" s="105" t="s">
        <v>8</v>
      </c>
      <c r="V9" s="101" t="s">
        <v>8</v>
      </c>
      <c r="W9" s="150" t="s">
        <v>347</v>
      </c>
      <c r="X9" s="108">
        <v>45917</v>
      </c>
      <c r="Y9" s="105"/>
    </row>
    <row r="10" spans="1:44" s="7" customFormat="1" ht="31.5" customHeight="1">
      <c r="A10" s="37" t="s">
        <v>100</v>
      </c>
      <c r="B10" s="84" t="s">
        <v>101</v>
      </c>
      <c r="C10" s="45" t="s">
        <v>102</v>
      </c>
      <c r="D10" s="45" t="s">
        <v>103</v>
      </c>
      <c r="E10" s="45" t="s">
        <v>104</v>
      </c>
      <c r="F10" s="85">
        <v>98248403</v>
      </c>
      <c r="G10" s="45"/>
      <c r="H10" s="51">
        <v>2</v>
      </c>
      <c r="I10" s="51">
        <v>2</v>
      </c>
      <c r="J10" s="51">
        <v>2</v>
      </c>
      <c r="K10" s="106">
        <v>3</v>
      </c>
      <c r="L10" s="51">
        <v>2</v>
      </c>
      <c r="M10" s="51">
        <v>1</v>
      </c>
      <c r="N10" s="51">
        <v>2</v>
      </c>
      <c r="O10" s="103">
        <f t="shared" si="1"/>
        <v>2</v>
      </c>
      <c r="P10" s="105" t="s">
        <v>10</v>
      </c>
      <c r="Q10" s="51">
        <v>2</v>
      </c>
      <c r="R10" s="51">
        <v>2</v>
      </c>
      <c r="S10" s="51">
        <v>3</v>
      </c>
      <c r="T10" s="103">
        <f>AVERAGE(Q10:S10)</f>
        <v>2.3333333333333335</v>
      </c>
      <c r="U10" s="105" t="s">
        <v>8</v>
      </c>
      <c r="V10" s="101" t="s">
        <v>10</v>
      </c>
      <c r="W10" s="150" t="s">
        <v>347</v>
      </c>
      <c r="X10" s="108">
        <v>45917</v>
      </c>
      <c r="Y10" s="105"/>
    </row>
    <row r="11" spans="1:44" s="7" customFormat="1" ht="31.5" customHeight="1">
      <c r="A11" s="37" t="s">
        <v>105</v>
      </c>
      <c r="B11" s="84" t="s">
        <v>106</v>
      </c>
      <c r="C11" s="45" t="s">
        <v>107</v>
      </c>
      <c r="D11" s="45" t="s">
        <v>108</v>
      </c>
      <c r="E11" s="87" t="s">
        <v>109</v>
      </c>
      <c r="F11" s="85">
        <v>20067564</v>
      </c>
      <c r="G11" s="107" t="s">
        <v>110</v>
      </c>
      <c r="H11" s="51">
        <v>2</v>
      </c>
      <c r="I11" s="51">
        <v>3</v>
      </c>
      <c r="J11" s="51">
        <v>2</v>
      </c>
      <c r="K11" s="106">
        <v>3</v>
      </c>
      <c r="L11" s="51">
        <v>2</v>
      </c>
      <c r="M11" s="51">
        <v>2</v>
      </c>
      <c r="N11" s="51">
        <v>2</v>
      </c>
      <c r="O11" s="103">
        <f t="shared" si="1"/>
        <v>2.2857142857142856</v>
      </c>
      <c r="P11" s="105" t="s">
        <v>8</v>
      </c>
      <c r="Q11" s="51">
        <v>2</v>
      </c>
      <c r="R11" s="51">
        <v>2</v>
      </c>
      <c r="S11" s="51">
        <v>3</v>
      </c>
      <c r="T11" s="103">
        <f t="shared" si="0"/>
        <v>2.3333333333333335</v>
      </c>
      <c r="U11" s="105" t="s">
        <v>10</v>
      </c>
      <c r="V11" s="101" t="s">
        <v>10</v>
      </c>
      <c r="W11" s="150" t="s">
        <v>347</v>
      </c>
      <c r="X11" s="108">
        <v>45917</v>
      </c>
      <c r="Y11" s="105"/>
    </row>
    <row r="12" spans="1:44" s="7" customFormat="1" ht="31.5" customHeight="1">
      <c r="A12" s="37" t="s">
        <v>111</v>
      </c>
      <c r="B12" s="84" t="s">
        <v>112</v>
      </c>
      <c r="C12" s="45" t="s">
        <v>113</v>
      </c>
      <c r="D12" s="45" t="s">
        <v>114</v>
      </c>
      <c r="E12" s="45" t="s">
        <v>115</v>
      </c>
      <c r="F12" s="86">
        <v>54736311</v>
      </c>
      <c r="G12" s="107" t="s">
        <v>116</v>
      </c>
      <c r="H12" s="51">
        <v>2</v>
      </c>
      <c r="I12" s="51">
        <v>3</v>
      </c>
      <c r="J12" s="51">
        <v>2</v>
      </c>
      <c r="K12" s="106">
        <v>1</v>
      </c>
      <c r="L12" s="51">
        <v>2</v>
      </c>
      <c r="M12" s="51">
        <v>2</v>
      </c>
      <c r="N12" s="51">
        <v>0</v>
      </c>
      <c r="O12" s="103">
        <f t="shared" si="1"/>
        <v>1.7142857142857142</v>
      </c>
      <c r="P12" s="105" t="s">
        <v>10</v>
      </c>
      <c r="Q12" s="51">
        <v>2</v>
      </c>
      <c r="R12" s="51">
        <v>2</v>
      </c>
      <c r="S12" s="51">
        <v>2</v>
      </c>
      <c r="T12" s="103">
        <f t="shared" si="0"/>
        <v>2</v>
      </c>
      <c r="U12" s="105" t="s">
        <v>10</v>
      </c>
      <c r="V12" s="101" t="s">
        <v>10</v>
      </c>
      <c r="W12" s="150" t="s">
        <v>347</v>
      </c>
      <c r="X12" s="108">
        <v>45917</v>
      </c>
      <c r="Y12" s="105"/>
    </row>
    <row r="13" spans="1:44" s="7" customFormat="1" ht="42.75" customHeight="1">
      <c r="A13" s="37" t="s">
        <v>118</v>
      </c>
      <c r="B13" s="84" t="s">
        <v>119</v>
      </c>
      <c r="C13" s="45"/>
      <c r="D13" s="45" t="s">
        <v>120</v>
      </c>
      <c r="E13" s="45"/>
      <c r="F13" s="86">
        <v>72204105</v>
      </c>
      <c r="G13" s="89"/>
      <c r="H13" s="51">
        <v>2</v>
      </c>
      <c r="I13" s="51">
        <v>2</v>
      </c>
      <c r="J13" s="51">
        <v>2</v>
      </c>
      <c r="K13" s="106">
        <v>2</v>
      </c>
      <c r="L13" s="51">
        <v>2</v>
      </c>
      <c r="M13" s="51">
        <v>2</v>
      </c>
      <c r="N13" s="51">
        <v>2</v>
      </c>
      <c r="O13" s="103">
        <f t="shared" si="1"/>
        <v>2</v>
      </c>
      <c r="P13" s="105" t="s">
        <v>10</v>
      </c>
      <c r="Q13" s="51">
        <v>2</v>
      </c>
      <c r="R13" s="51">
        <v>1</v>
      </c>
      <c r="S13" s="51">
        <v>1</v>
      </c>
      <c r="T13" s="103">
        <f t="shared" si="0"/>
        <v>1.3333333333333333</v>
      </c>
      <c r="U13" s="105" t="s">
        <v>10</v>
      </c>
      <c r="V13" s="101" t="s">
        <v>10</v>
      </c>
      <c r="W13" s="150" t="s">
        <v>347</v>
      </c>
      <c r="X13" s="108">
        <v>45917</v>
      </c>
      <c r="Y13" s="105"/>
    </row>
    <row r="14" spans="1:44" s="7" customFormat="1" ht="31.5" customHeight="1">
      <c r="A14" s="37" t="s">
        <v>121</v>
      </c>
      <c r="B14" s="84" t="s">
        <v>122</v>
      </c>
      <c r="C14" s="45"/>
      <c r="D14" s="45" t="s">
        <v>132</v>
      </c>
      <c r="E14" s="45" t="s">
        <v>174</v>
      </c>
      <c r="F14" s="86">
        <v>98535442</v>
      </c>
      <c r="G14" s="89"/>
      <c r="H14" s="51">
        <v>2</v>
      </c>
      <c r="I14" s="51">
        <v>3</v>
      </c>
      <c r="J14" s="51">
        <v>2</v>
      </c>
      <c r="K14" s="106">
        <v>2</v>
      </c>
      <c r="L14" s="51">
        <v>2</v>
      </c>
      <c r="M14" s="51">
        <v>2</v>
      </c>
      <c r="N14" s="51">
        <v>2</v>
      </c>
      <c r="O14" s="103">
        <f t="shared" si="1"/>
        <v>2.1428571428571428</v>
      </c>
      <c r="P14" s="105" t="s">
        <v>8</v>
      </c>
      <c r="Q14" s="51">
        <v>2</v>
      </c>
      <c r="R14" s="51">
        <v>1</v>
      </c>
      <c r="S14" s="51">
        <v>1</v>
      </c>
      <c r="T14" s="103">
        <f t="shared" si="0"/>
        <v>1.3333333333333333</v>
      </c>
      <c r="U14" s="105" t="s">
        <v>10</v>
      </c>
      <c r="V14" s="101" t="s">
        <v>10</v>
      </c>
      <c r="W14" s="150" t="s">
        <v>347</v>
      </c>
      <c r="X14" s="108">
        <v>45917</v>
      </c>
      <c r="Y14" s="105"/>
    </row>
    <row r="15" spans="1:44" s="7" customFormat="1" ht="31.5" customHeight="1">
      <c r="A15" s="37" t="s">
        <v>124</v>
      </c>
      <c r="B15" s="84" t="s">
        <v>125</v>
      </c>
      <c r="C15" s="45" t="s">
        <v>126</v>
      </c>
      <c r="D15" s="45" t="s">
        <v>127</v>
      </c>
      <c r="E15" s="45"/>
      <c r="F15" s="86">
        <v>98478075</v>
      </c>
      <c r="G15" s="89"/>
      <c r="H15" s="51">
        <v>2</v>
      </c>
      <c r="I15" s="51">
        <v>2</v>
      </c>
      <c r="J15" s="51">
        <v>2</v>
      </c>
      <c r="K15" s="106">
        <v>2</v>
      </c>
      <c r="L15" s="51">
        <v>2</v>
      </c>
      <c r="M15" s="51">
        <v>2</v>
      </c>
      <c r="N15" s="51">
        <v>0</v>
      </c>
      <c r="O15" s="103">
        <f t="shared" si="1"/>
        <v>1.7142857142857142</v>
      </c>
      <c r="P15" s="105" t="s">
        <v>10</v>
      </c>
      <c r="Q15" s="51">
        <v>2</v>
      </c>
      <c r="R15" s="51">
        <v>1</v>
      </c>
      <c r="S15" s="51">
        <v>1</v>
      </c>
      <c r="T15" s="103">
        <f t="shared" si="0"/>
        <v>1.3333333333333333</v>
      </c>
      <c r="U15" s="105" t="s">
        <v>10</v>
      </c>
      <c r="V15" s="101" t="s">
        <v>10</v>
      </c>
      <c r="W15" s="150" t="s">
        <v>347</v>
      </c>
      <c r="X15" s="108">
        <v>45917</v>
      </c>
      <c r="Y15" s="105"/>
    </row>
    <row r="16" spans="1:44" s="7" customFormat="1" ht="31.5" customHeight="1">
      <c r="A16" s="37" t="s">
        <v>128</v>
      </c>
      <c r="B16" s="84" t="s">
        <v>129</v>
      </c>
      <c r="C16" s="45"/>
      <c r="D16" s="45" t="s">
        <v>130</v>
      </c>
      <c r="E16" s="45" t="s">
        <v>131</v>
      </c>
      <c r="F16" s="86">
        <v>99873106</v>
      </c>
      <c r="G16" s="89"/>
      <c r="H16" s="51">
        <v>2</v>
      </c>
      <c r="I16" s="51">
        <v>2</v>
      </c>
      <c r="J16" s="51">
        <v>3</v>
      </c>
      <c r="K16" s="106">
        <v>2</v>
      </c>
      <c r="L16" s="51">
        <v>2</v>
      </c>
      <c r="M16" s="51">
        <v>3</v>
      </c>
      <c r="N16" s="51">
        <v>0</v>
      </c>
      <c r="O16" s="103">
        <f t="shared" si="1"/>
        <v>2</v>
      </c>
      <c r="P16" s="105" t="s">
        <v>8</v>
      </c>
      <c r="Q16" s="51">
        <v>2</v>
      </c>
      <c r="R16" s="51">
        <v>2</v>
      </c>
      <c r="S16" s="51">
        <v>2</v>
      </c>
      <c r="T16" s="103">
        <f t="shared" si="0"/>
        <v>2</v>
      </c>
      <c r="U16" s="105" t="s">
        <v>10</v>
      </c>
      <c r="V16" s="101" t="s">
        <v>10</v>
      </c>
      <c r="W16" s="150" t="s">
        <v>347</v>
      </c>
      <c r="X16" s="108">
        <v>45917</v>
      </c>
      <c r="Y16" s="105"/>
    </row>
    <row r="17" spans="1:44" s="7" customFormat="1" ht="31.5" customHeight="1">
      <c r="A17" s="37" t="s">
        <v>133</v>
      </c>
      <c r="B17" s="84" t="s">
        <v>134</v>
      </c>
      <c r="C17" s="45"/>
      <c r="D17" s="45" t="s">
        <v>135</v>
      </c>
      <c r="E17" s="45" t="s">
        <v>136</v>
      </c>
      <c r="F17" s="86">
        <v>99233380</v>
      </c>
      <c r="G17" s="45"/>
      <c r="H17" s="51">
        <v>1</v>
      </c>
      <c r="I17" s="51">
        <v>2</v>
      </c>
      <c r="J17" s="51">
        <v>2</v>
      </c>
      <c r="K17" s="106">
        <v>2</v>
      </c>
      <c r="L17" s="51">
        <v>2</v>
      </c>
      <c r="M17" s="51">
        <v>1</v>
      </c>
      <c r="N17" s="51">
        <v>0</v>
      </c>
      <c r="O17" s="103">
        <f t="shared" si="1"/>
        <v>1.4285714285714286</v>
      </c>
      <c r="P17" s="105" t="s">
        <v>10</v>
      </c>
      <c r="Q17" s="51">
        <v>1</v>
      </c>
      <c r="R17" s="51">
        <v>2</v>
      </c>
      <c r="S17" s="51">
        <v>1</v>
      </c>
      <c r="T17" s="103">
        <f t="shared" si="0"/>
        <v>1.3333333333333333</v>
      </c>
      <c r="U17" s="105" t="s">
        <v>10</v>
      </c>
      <c r="V17" s="101" t="s">
        <v>10</v>
      </c>
      <c r="W17" s="150" t="s">
        <v>347</v>
      </c>
      <c r="X17" s="108">
        <v>45917</v>
      </c>
      <c r="Y17" s="105"/>
    </row>
    <row r="18" spans="1:44" s="7" customFormat="1" ht="31.5" customHeight="1">
      <c r="A18" s="37" t="s">
        <v>137</v>
      </c>
      <c r="B18" s="84" t="s">
        <v>138</v>
      </c>
      <c r="C18" s="45" t="s">
        <v>139</v>
      </c>
      <c r="D18" s="45" t="s">
        <v>140</v>
      </c>
      <c r="E18" s="45" t="s">
        <v>141</v>
      </c>
      <c r="F18" s="86">
        <v>71366112</v>
      </c>
      <c r="G18" s="107" t="s">
        <v>142</v>
      </c>
      <c r="H18" s="51">
        <v>2</v>
      </c>
      <c r="I18" s="51">
        <v>3</v>
      </c>
      <c r="J18" s="51">
        <v>2</v>
      </c>
      <c r="K18" s="51">
        <v>2</v>
      </c>
      <c r="L18" s="51">
        <v>2</v>
      </c>
      <c r="M18" s="51">
        <v>2</v>
      </c>
      <c r="N18" s="51">
        <v>0</v>
      </c>
      <c r="O18" s="103">
        <f t="shared" si="1"/>
        <v>1.8571428571428572</v>
      </c>
      <c r="P18" s="105" t="s">
        <v>10</v>
      </c>
      <c r="Q18" s="51">
        <v>2</v>
      </c>
      <c r="R18" s="51">
        <v>2</v>
      </c>
      <c r="S18" s="51">
        <v>2</v>
      </c>
      <c r="T18" s="103">
        <f t="shared" si="0"/>
        <v>2</v>
      </c>
      <c r="U18" s="105" t="s">
        <v>10</v>
      </c>
      <c r="V18" s="101" t="s">
        <v>10</v>
      </c>
      <c r="W18" s="150" t="s">
        <v>347</v>
      </c>
      <c r="X18" s="108">
        <v>45917</v>
      </c>
      <c r="Y18" s="105"/>
    </row>
    <row r="19" spans="1:44" s="36" customFormat="1">
      <c r="A19" s="38"/>
      <c r="B19" s="38"/>
      <c r="C19"/>
      <c r="D19"/>
      <c r="E19"/>
      <c r="F19"/>
      <c r="G19"/>
      <c r="H19" s="1"/>
      <c r="I19" s="1"/>
      <c r="J19" s="1"/>
      <c r="K19" s="1"/>
      <c r="L19" s="1"/>
      <c r="M19" s="1"/>
      <c r="N19" s="1"/>
      <c r="O19" s="1"/>
      <c r="P19" s="1"/>
      <c r="Q19" s="13"/>
      <c r="R19" s="13"/>
      <c r="S19" s="13"/>
      <c r="T19" s="13"/>
      <c r="U19" s="13"/>
      <c r="V19"/>
      <c r="W19"/>
      <c r="X19"/>
      <c r="Y19" s="2"/>
      <c r="Z19" s="2"/>
      <c r="AA19" s="2"/>
      <c r="AB19" s="2"/>
      <c r="AC19" s="2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s="70" customFormat="1" ht="30.75" customHeight="1">
      <c r="A20" s="156" t="s">
        <v>86</v>
      </c>
      <c r="B20" s="178"/>
      <c r="C20" s="178"/>
      <c r="D20" s="178"/>
      <c r="E20" s="178"/>
      <c r="F20" s="178"/>
      <c r="G20" s="179"/>
      <c r="H20" s="40"/>
      <c r="I20" s="40"/>
      <c r="J20" s="2"/>
      <c r="K20" s="1"/>
      <c r="L20" s="1"/>
      <c r="M20" s="1"/>
      <c r="N20" s="1"/>
      <c r="O20" s="1"/>
      <c r="P20" s="1"/>
      <c r="Q20" s="13"/>
      <c r="R20" s="13"/>
      <c r="S20" s="13"/>
      <c r="T20" s="13"/>
      <c r="U20" s="13"/>
      <c r="V20" s="68"/>
      <c r="W20" s="68"/>
      <c r="X20" s="68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s="70" customFormat="1" ht="30.75" customHeight="1">
      <c r="A21" s="155" t="s">
        <v>9</v>
      </c>
      <c r="B21" s="155"/>
      <c r="C21" s="156"/>
      <c r="D21" s="155" t="s">
        <v>12</v>
      </c>
      <c r="E21" s="155"/>
      <c r="F21" s="155"/>
      <c r="G21" s="155"/>
      <c r="H21" s="40"/>
      <c r="I21" s="40"/>
      <c r="J21" s="2"/>
      <c r="Q21" s="13"/>
      <c r="R21" s="13"/>
      <c r="S21" s="13"/>
      <c r="T21" s="13"/>
      <c r="U21" s="13"/>
      <c r="V21" s="68"/>
      <c r="W21" s="68"/>
      <c r="X21" s="68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s="70" customFormat="1" ht="30.75" customHeight="1">
      <c r="A22" s="183" t="s">
        <v>2</v>
      </c>
      <c r="B22" s="183"/>
      <c r="C22" s="65" t="s">
        <v>37</v>
      </c>
      <c r="D22" s="28" t="s">
        <v>8</v>
      </c>
      <c r="E22" s="181" t="s">
        <v>40</v>
      </c>
      <c r="F22" s="181"/>
      <c r="G22" s="181"/>
      <c r="H22" s="40"/>
      <c r="I22" s="40"/>
      <c r="J22" s="2"/>
      <c r="K22" s="39"/>
      <c r="L22" s="39"/>
      <c r="M22" s="39"/>
      <c r="N22" s="39"/>
      <c r="O22" s="39"/>
      <c r="P22" s="39"/>
      <c r="Q22" s="39"/>
      <c r="R22" s="39"/>
      <c r="S22" s="39"/>
      <c r="T22" s="13"/>
      <c r="U22" s="13"/>
      <c r="V22" s="68"/>
      <c r="W22" s="68"/>
      <c r="X22" s="68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s="70" customFormat="1" ht="30.75" customHeight="1">
      <c r="A23" s="183" t="s">
        <v>3</v>
      </c>
      <c r="B23" s="183"/>
      <c r="C23" s="66" t="s">
        <v>38</v>
      </c>
      <c r="D23" s="28" t="s">
        <v>10</v>
      </c>
      <c r="E23" s="181" t="s">
        <v>13</v>
      </c>
      <c r="F23" s="181"/>
      <c r="G23" s="181"/>
      <c r="H23" s="40"/>
      <c r="I23" s="40"/>
      <c r="J23" s="2"/>
      <c r="K23" s="40"/>
      <c r="L23" s="40"/>
      <c r="M23" s="40"/>
      <c r="N23" s="40"/>
      <c r="O23" s="40"/>
      <c r="P23" s="40"/>
      <c r="Q23" s="40"/>
      <c r="R23" s="40"/>
      <c r="S23" s="40"/>
      <c r="T23" s="2"/>
      <c r="U23" s="2"/>
      <c r="V23" s="68"/>
      <c r="W23" s="68"/>
      <c r="X23" s="68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s="70" customFormat="1" ht="30.75" customHeight="1">
      <c r="A24" s="183" t="s">
        <v>4</v>
      </c>
      <c r="B24" s="183"/>
      <c r="C24" s="67" t="s">
        <v>20</v>
      </c>
      <c r="D24" s="28" t="s">
        <v>11</v>
      </c>
      <c r="E24" s="182" t="s">
        <v>14</v>
      </c>
      <c r="F24" s="182"/>
      <c r="G24" s="182"/>
      <c r="H24" s="40"/>
      <c r="I24" s="40"/>
      <c r="J24" s="2"/>
      <c r="K24" s="40"/>
      <c r="L24" s="40"/>
      <c r="M24" s="40"/>
      <c r="N24" s="40"/>
      <c r="O24" s="40"/>
      <c r="P24" s="40"/>
      <c r="Q24" s="40"/>
      <c r="R24" s="40"/>
      <c r="S24" s="40"/>
      <c r="T24" s="2"/>
      <c r="U24" s="2"/>
      <c r="V24" s="68"/>
      <c r="W24" s="68"/>
      <c r="X24" s="68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s="70" customFormat="1" ht="30.75" customHeight="1">
      <c r="A25" s="183" t="s">
        <v>5</v>
      </c>
      <c r="B25" s="183"/>
      <c r="C25" s="154">
        <v>0</v>
      </c>
      <c r="D25" s="39"/>
      <c r="E25" s="39"/>
      <c r="F25" s="39"/>
      <c r="G25" s="39"/>
      <c r="H25" s="40"/>
      <c r="I25" s="4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68"/>
      <c r="W25" s="68"/>
      <c r="X25" s="68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70" customFormat="1" ht="12.75" customHeight="1">
      <c r="A26" s="2"/>
      <c r="B26" s="2"/>
      <c r="C26" s="68"/>
      <c r="D26" s="68"/>
      <c r="E26" s="68"/>
      <c r="F26" s="68"/>
      <c r="G26" s="68"/>
      <c r="H26" s="40"/>
      <c r="I26" s="4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68"/>
      <c r="W26" s="68"/>
      <c r="X26" s="68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s="70" customFormat="1" ht="30.75" customHeight="1">
      <c r="A27" s="180" t="s">
        <v>6</v>
      </c>
      <c r="B27" s="180"/>
      <c r="C27" s="40"/>
      <c r="D27" s="40"/>
      <c r="E27" s="40"/>
      <c r="F27" s="40"/>
      <c r="G27" s="40"/>
      <c r="H27" s="40"/>
      <c r="I27" s="4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68"/>
      <c r="W27" s="68"/>
      <c r="X27" s="68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s="36" customFormat="1" ht="30.75" customHeight="1">
      <c r="A28" s="3"/>
      <c r="B28" s="3"/>
      <c r="C28" s="54"/>
      <c r="D28" s="54"/>
      <c r="E28" s="54"/>
      <c r="F28" s="54"/>
      <c r="G28" s="5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54"/>
      <c r="W28" s="54"/>
      <c r="X28" s="54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</sheetData>
  <mergeCells count="29">
    <mergeCell ref="A27:B27"/>
    <mergeCell ref="E23:G23"/>
    <mergeCell ref="E22:G22"/>
    <mergeCell ref="E24:G24"/>
    <mergeCell ref="A23:B23"/>
    <mergeCell ref="A24:B24"/>
    <mergeCell ref="A25:B25"/>
    <mergeCell ref="A22:B22"/>
    <mergeCell ref="B6:B7"/>
    <mergeCell ref="C6:C7"/>
    <mergeCell ref="D6:D7"/>
    <mergeCell ref="E6:E7"/>
    <mergeCell ref="A20:G20"/>
    <mergeCell ref="A21:C21"/>
    <mergeCell ref="D21:G21"/>
    <mergeCell ref="U1:Y1"/>
    <mergeCell ref="A1:A2"/>
    <mergeCell ref="Q6:S6"/>
    <mergeCell ref="O6:P7"/>
    <mergeCell ref="U2:Y2"/>
    <mergeCell ref="Y6:Y7"/>
    <mergeCell ref="A6:A7"/>
    <mergeCell ref="T6:U7"/>
    <mergeCell ref="H6:N6"/>
    <mergeCell ref="B1:T2"/>
    <mergeCell ref="F6:F7"/>
    <mergeCell ref="G6:G7"/>
    <mergeCell ref="W6:X6"/>
    <mergeCell ref="V6:V7"/>
  </mergeCells>
  <conditionalFormatting sqref="P8:P18 U13:V18 U8:X12 W18:X18 W12:X16">
    <cfRule type="cellIs" dxfId="1171" priority="357" stopIfTrue="1" operator="equal">
      <formula>"C"</formula>
    </cfRule>
    <cfRule type="cellIs" dxfId="1170" priority="358" stopIfTrue="1" operator="equal">
      <formula>"C"</formula>
    </cfRule>
    <cfRule type="cellIs" dxfId="1169" priority="359" stopIfTrue="1" operator="equal">
      <formula>"B"</formula>
    </cfRule>
    <cfRule type="cellIs" dxfId="1168" priority="360" stopIfTrue="1" operator="equal">
      <formula>"A"</formula>
    </cfRule>
  </conditionalFormatting>
  <conditionalFormatting sqref="W18:X18">
    <cfRule type="cellIs" dxfId="1167" priority="265" stopIfTrue="1" operator="equal">
      <formula>"C"</formula>
    </cfRule>
    <cfRule type="cellIs" dxfId="1166" priority="266" stopIfTrue="1" operator="equal">
      <formula>"C"</formula>
    </cfRule>
    <cfRule type="cellIs" dxfId="1165" priority="267" stopIfTrue="1" operator="equal">
      <formula>"B"</formula>
    </cfRule>
    <cfRule type="cellIs" dxfId="1164" priority="268" stopIfTrue="1" operator="equal">
      <formula>"A"</formula>
    </cfRule>
  </conditionalFormatting>
  <conditionalFormatting sqref="W18:X18">
    <cfRule type="cellIs" dxfId="1163" priority="261" stopIfTrue="1" operator="equal">
      <formula>"C"</formula>
    </cfRule>
    <cfRule type="cellIs" dxfId="1162" priority="262" stopIfTrue="1" operator="equal">
      <formula>"C"</formula>
    </cfRule>
    <cfRule type="cellIs" dxfId="1161" priority="263" stopIfTrue="1" operator="equal">
      <formula>"B"</formula>
    </cfRule>
    <cfRule type="cellIs" dxfId="1160" priority="264" stopIfTrue="1" operator="equal">
      <formula>"A"</formula>
    </cfRule>
  </conditionalFormatting>
  <conditionalFormatting sqref="W18:X18">
    <cfRule type="cellIs" dxfId="1159" priority="25" stopIfTrue="1" operator="equal">
      <formula>"C"</formula>
    </cfRule>
    <cfRule type="cellIs" dxfId="1158" priority="26" stopIfTrue="1" operator="equal">
      <formula>"C"</formula>
    </cfRule>
    <cfRule type="cellIs" dxfId="1157" priority="27" stopIfTrue="1" operator="equal">
      <formula>"B"</formula>
    </cfRule>
    <cfRule type="cellIs" dxfId="1156" priority="28" stopIfTrue="1" operator="equal">
      <formula>"A"</formula>
    </cfRule>
  </conditionalFormatting>
  <conditionalFormatting sqref="W18:X18">
    <cfRule type="cellIs" dxfId="1155" priority="21" stopIfTrue="1" operator="equal">
      <formula>"C"</formula>
    </cfRule>
    <cfRule type="cellIs" dxfId="1154" priority="22" stopIfTrue="1" operator="equal">
      <formula>"C"</formula>
    </cfRule>
    <cfRule type="cellIs" dxfId="1153" priority="23" stopIfTrue="1" operator="equal">
      <formula>"B"</formula>
    </cfRule>
    <cfRule type="cellIs" dxfId="1152" priority="24" stopIfTrue="1" operator="equal">
      <formula>"A"</formula>
    </cfRule>
  </conditionalFormatting>
  <conditionalFormatting sqref="W18:X18">
    <cfRule type="cellIs" dxfId="1151" priority="17" stopIfTrue="1" operator="equal">
      <formula>"C"</formula>
    </cfRule>
    <cfRule type="cellIs" dxfId="1150" priority="18" stopIfTrue="1" operator="equal">
      <formula>"C"</formula>
    </cfRule>
    <cfRule type="cellIs" dxfId="1149" priority="19" stopIfTrue="1" operator="equal">
      <formula>"B"</formula>
    </cfRule>
    <cfRule type="cellIs" dxfId="1148" priority="20" stopIfTrue="1" operator="equal">
      <formula>"A"</formula>
    </cfRule>
  </conditionalFormatting>
  <conditionalFormatting sqref="W18:X18">
    <cfRule type="cellIs" dxfId="1147" priority="13" stopIfTrue="1" operator="equal">
      <formula>"C"</formula>
    </cfRule>
    <cfRule type="cellIs" dxfId="1146" priority="14" stopIfTrue="1" operator="equal">
      <formula>"C"</formula>
    </cfRule>
    <cfRule type="cellIs" dxfId="1145" priority="15" stopIfTrue="1" operator="equal">
      <formula>"B"</formula>
    </cfRule>
    <cfRule type="cellIs" dxfId="1144" priority="16" stopIfTrue="1" operator="equal">
      <formula>"A"</formula>
    </cfRule>
  </conditionalFormatting>
  <conditionalFormatting sqref="W18:X18">
    <cfRule type="cellIs" dxfId="1143" priority="9" stopIfTrue="1" operator="equal">
      <formula>"C"</formula>
    </cfRule>
    <cfRule type="cellIs" dxfId="1142" priority="10" stopIfTrue="1" operator="equal">
      <formula>"C"</formula>
    </cfRule>
    <cfRule type="cellIs" dxfId="1141" priority="11" stopIfTrue="1" operator="equal">
      <formula>"B"</formula>
    </cfRule>
    <cfRule type="cellIs" dxfId="1140" priority="12" stopIfTrue="1" operator="equal">
      <formula>"A"</formula>
    </cfRule>
  </conditionalFormatting>
  <conditionalFormatting sqref="W18:X18">
    <cfRule type="cellIs" dxfId="1139" priority="5" stopIfTrue="1" operator="equal">
      <formula>"C"</formula>
    </cfRule>
    <cfRule type="cellIs" dxfId="1138" priority="6" stopIfTrue="1" operator="equal">
      <formula>"C"</formula>
    </cfRule>
    <cfRule type="cellIs" dxfId="1137" priority="7" stopIfTrue="1" operator="equal">
      <formula>"B"</formula>
    </cfRule>
    <cfRule type="cellIs" dxfId="1136" priority="8" stopIfTrue="1" operator="equal">
      <formula>"A"</formula>
    </cfRule>
  </conditionalFormatting>
  <conditionalFormatting sqref="W17:X17">
    <cfRule type="cellIs" dxfId="643" priority="1" stopIfTrue="1" operator="equal">
      <formula>"C"</formula>
    </cfRule>
    <cfRule type="cellIs" dxfId="642" priority="2" stopIfTrue="1" operator="equal">
      <formula>"C"</formula>
    </cfRule>
    <cfRule type="cellIs" dxfId="641" priority="3" stopIfTrue="1" operator="equal">
      <formula>"B"</formula>
    </cfRule>
    <cfRule type="cellIs" dxfId="640" priority="4" stopIfTrue="1" operator="equal">
      <formula>"A"</formula>
    </cfRule>
  </conditionalFormatting>
  <dataValidations count="2">
    <dataValidation type="list" allowBlank="1" showInputMessage="1" showErrorMessage="1" sqref="P8:P18 U8:V18">
      <formula1>"A, B, C"</formula1>
    </dataValidation>
    <dataValidation type="list" allowBlank="1" showInputMessage="1" showErrorMessage="1" sqref="H8:N10 Q8:S18">
      <formula1>"0, 1, 2, 3"</formula1>
    </dataValidation>
  </dataValidations>
  <hyperlinks>
    <hyperlink ref="G12" r:id="rId1"/>
    <hyperlink ref="G11" r:id="rId2"/>
    <hyperlink ref="G8" r:id="rId3"/>
    <hyperlink ref="G9" r:id="rId4"/>
    <hyperlink ref="G18" r:id="rId5"/>
  </hyperlinks>
  <printOptions horizontalCentered="1" verticalCentered="1"/>
  <pageMargins left="0.17" right="0.17" top="0.2" bottom="0.42" header="0.3" footer="0.3"/>
  <pageSetup paperSize="9" scale="39" orientation="landscape" r:id="rId6"/>
  <headerFooter alignWithMargins="0">
    <oddFooter>&amp;C&amp;P/&amp;N</oddFooter>
  </headerFooter>
  <drawing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1"/>
  <sheetViews>
    <sheetView zoomScale="80" zoomScaleNormal="80" workbookViewId="0">
      <selection activeCell="Q15" sqref="A9:Q15"/>
    </sheetView>
  </sheetViews>
  <sheetFormatPr baseColWidth="10" defaultRowHeight="12.75"/>
  <cols>
    <col min="1" max="1" width="12.28515625" style="9" customWidth="1"/>
    <col min="2" max="2" width="30.8554687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34.5703125" customWidth="1"/>
    <col min="22" max="23" width="16.28515625" customWidth="1"/>
    <col min="25" max="25" width="7.85546875" customWidth="1"/>
    <col min="26" max="27" width="11.42578125" customWidth="1"/>
    <col min="28" max="28" width="13.42578125" customWidth="1"/>
  </cols>
  <sheetData>
    <row r="1" spans="1:47" ht="24.75" customHeight="1">
      <c r="A1" s="185" t="s">
        <v>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4" t="s">
        <v>21</v>
      </c>
      <c r="Y1" s="184"/>
      <c r="Z1" s="184"/>
      <c r="AA1" s="184"/>
      <c r="AB1" s="184"/>
    </row>
    <row r="2" spans="1:47" ht="27" customHeight="1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4">
        <v>3</v>
      </c>
      <c r="Y2" s="184"/>
      <c r="Z2" s="184"/>
      <c r="AA2" s="184"/>
      <c r="AB2" s="184"/>
    </row>
    <row r="3" spans="1:47" ht="8.1" customHeight="1">
      <c r="A3" s="31"/>
      <c r="B3" s="31"/>
      <c r="C3" s="42"/>
      <c r="D3" s="42"/>
      <c r="E3" s="42"/>
      <c r="F3" s="42"/>
      <c r="G3" s="42"/>
      <c r="H3" s="13"/>
      <c r="I3" s="17"/>
      <c r="J3" s="17"/>
      <c r="K3" s="17"/>
      <c r="L3" s="17"/>
      <c r="M3" s="17"/>
      <c r="N3" s="17"/>
      <c r="O3" s="17"/>
      <c r="P3" s="17"/>
      <c r="Q3" s="17"/>
      <c r="R3" s="14"/>
      <c r="S3" s="15"/>
      <c r="T3" s="15"/>
      <c r="U3" s="15"/>
      <c r="V3" s="15"/>
      <c r="W3" s="15"/>
      <c r="X3" s="15"/>
      <c r="Y3" s="42"/>
      <c r="Z3" s="50"/>
      <c r="AA3" s="50"/>
      <c r="AB3" s="14"/>
      <c r="AE3" s="2"/>
    </row>
    <row r="4" spans="1:47" ht="39.75" customHeight="1">
      <c r="A4" s="22" t="s">
        <v>15</v>
      </c>
      <c r="B4" s="51" t="s">
        <v>51</v>
      </c>
      <c r="C4" s="30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4"/>
      <c r="S4" s="15"/>
      <c r="T4" s="15"/>
      <c r="U4" s="15"/>
      <c r="V4" s="15"/>
      <c r="W4" s="17"/>
      <c r="X4" s="17"/>
      <c r="Y4" s="17"/>
      <c r="Z4" s="46"/>
      <c r="AA4" s="46"/>
      <c r="AB4" s="14"/>
      <c r="AE4" s="2"/>
    </row>
    <row r="5" spans="1:47" s="4" customFormat="1" ht="6.6" customHeigh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/>
      <c r="Z5"/>
      <c r="AA5"/>
      <c r="AB5" s="2"/>
      <c r="AC5" s="2"/>
      <c r="AD5" s="2"/>
      <c r="AE5" s="2"/>
      <c r="AF5" s="2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s="6" customFormat="1" ht="27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165"/>
      <c r="Q6" s="169" t="s">
        <v>1</v>
      </c>
      <c r="R6" s="170"/>
      <c r="S6" s="170"/>
      <c r="T6" s="170"/>
      <c r="U6" s="170"/>
      <c r="V6" s="171"/>
      <c r="W6" s="164" t="s">
        <v>7</v>
      </c>
      <c r="X6" s="165"/>
      <c r="Y6" s="168" t="s">
        <v>85</v>
      </c>
      <c r="Z6" s="161" t="s">
        <v>82</v>
      </c>
      <c r="AA6" s="162"/>
      <c r="AB6" s="168" t="s">
        <v>18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s="8" customFormat="1" ht="60.75" customHeight="1">
      <c r="A7" s="168"/>
      <c r="B7" s="168"/>
      <c r="C7" s="168"/>
      <c r="D7" s="168"/>
      <c r="E7" s="168"/>
      <c r="F7" s="168"/>
      <c r="G7" s="168"/>
      <c r="H7" s="96" t="s">
        <v>23</v>
      </c>
      <c r="I7" s="53" t="s">
        <v>26</v>
      </c>
      <c r="J7" s="53" t="s">
        <v>27</v>
      </c>
      <c r="K7" s="53" t="s">
        <v>28</v>
      </c>
      <c r="L7" s="53" t="s">
        <v>29</v>
      </c>
      <c r="M7" s="53" t="s">
        <v>30</v>
      </c>
      <c r="N7" s="53" t="s">
        <v>67</v>
      </c>
      <c r="O7" s="166"/>
      <c r="P7" s="167"/>
      <c r="Q7" s="53" t="s">
        <v>39</v>
      </c>
      <c r="R7" s="53" t="s">
        <v>31</v>
      </c>
      <c r="S7" s="53" t="s">
        <v>32</v>
      </c>
      <c r="T7" s="53" t="s">
        <v>33</v>
      </c>
      <c r="U7" s="100" t="s">
        <v>34</v>
      </c>
      <c r="V7" s="100" t="s">
        <v>36</v>
      </c>
      <c r="W7" s="166"/>
      <c r="X7" s="167"/>
      <c r="Y7" s="168"/>
      <c r="Z7" s="53" t="s">
        <v>83</v>
      </c>
      <c r="AA7" s="53" t="s">
        <v>84</v>
      </c>
      <c r="AB7" s="168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47" s="92" customFormat="1" ht="44.25" customHeight="1">
      <c r="A8" s="37" t="s">
        <v>143</v>
      </c>
      <c r="B8" s="84" t="s">
        <v>144</v>
      </c>
      <c r="C8" s="45" t="s">
        <v>145</v>
      </c>
      <c r="D8" s="45" t="s">
        <v>146</v>
      </c>
      <c r="E8" s="45" t="s">
        <v>147</v>
      </c>
      <c r="F8" s="86">
        <v>98319595</v>
      </c>
      <c r="G8" s="89"/>
      <c r="H8" s="101">
        <v>2</v>
      </c>
      <c r="I8" s="101">
        <v>2</v>
      </c>
      <c r="J8" s="101">
        <v>2</v>
      </c>
      <c r="K8" s="102">
        <v>2</v>
      </c>
      <c r="L8" s="101">
        <v>2</v>
      </c>
      <c r="M8" s="101">
        <v>2</v>
      </c>
      <c r="N8" s="101">
        <v>2</v>
      </c>
      <c r="O8" s="103">
        <f>AVERAGE(H8:N8)</f>
        <v>2</v>
      </c>
      <c r="P8" s="104" t="s">
        <v>10</v>
      </c>
      <c r="Q8" s="101">
        <v>2</v>
      </c>
      <c r="R8" s="101">
        <v>2</v>
      </c>
      <c r="S8" s="101">
        <v>2</v>
      </c>
      <c r="T8" s="101">
        <v>2</v>
      </c>
      <c r="U8" s="101">
        <v>0</v>
      </c>
      <c r="V8" s="101">
        <v>0</v>
      </c>
      <c r="W8" s="103">
        <f>AVERAGE(Q8:V8)</f>
        <v>1.3333333333333333</v>
      </c>
      <c r="X8" s="105" t="s">
        <v>10</v>
      </c>
      <c r="Y8" s="105" t="s">
        <v>10</v>
      </c>
      <c r="Z8" s="150" t="s">
        <v>347</v>
      </c>
      <c r="AA8" s="108">
        <v>45917</v>
      </c>
      <c r="AB8" s="105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</row>
    <row r="9" spans="1:47" s="92" customFormat="1" ht="33" customHeight="1">
      <c r="A9" s="37" t="s">
        <v>148</v>
      </c>
      <c r="B9" s="84" t="s">
        <v>149</v>
      </c>
      <c r="C9" s="45" t="s">
        <v>150</v>
      </c>
      <c r="D9" s="45" t="s">
        <v>151</v>
      </c>
      <c r="E9" s="45"/>
      <c r="F9" s="86">
        <v>26056000</v>
      </c>
      <c r="G9" s="45"/>
      <c r="H9" s="51">
        <v>2</v>
      </c>
      <c r="I9" s="51">
        <v>2</v>
      </c>
      <c r="J9" s="51">
        <v>2</v>
      </c>
      <c r="K9" s="106">
        <v>2</v>
      </c>
      <c r="L9" s="51">
        <v>2</v>
      </c>
      <c r="M9" s="51">
        <v>2</v>
      </c>
      <c r="N9" s="51">
        <v>2</v>
      </c>
      <c r="O9" s="103">
        <f t="shared" ref="O9" si="0">AVERAGE(H9:N9)</f>
        <v>2</v>
      </c>
      <c r="P9" s="105" t="s">
        <v>10</v>
      </c>
      <c r="Q9" s="51">
        <v>1</v>
      </c>
      <c r="R9" s="51">
        <v>1</v>
      </c>
      <c r="S9" s="51">
        <v>1</v>
      </c>
      <c r="T9" s="51">
        <v>2</v>
      </c>
      <c r="U9" s="101">
        <v>0</v>
      </c>
      <c r="V9" s="101">
        <v>0</v>
      </c>
      <c r="W9" s="103">
        <f t="shared" ref="W9:W11" si="1">AVERAGE(Q9:V9)</f>
        <v>0.83333333333333337</v>
      </c>
      <c r="X9" s="105" t="s">
        <v>11</v>
      </c>
      <c r="Y9" s="105" t="s">
        <v>11</v>
      </c>
      <c r="Z9" s="150" t="s">
        <v>347</v>
      </c>
      <c r="AA9" s="108">
        <v>45917</v>
      </c>
      <c r="AB9" s="105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</row>
    <row r="10" spans="1:47" s="92" customFormat="1" ht="33" customHeight="1">
      <c r="A10" s="93" t="s">
        <v>321</v>
      </c>
      <c r="B10" s="84" t="s">
        <v>322</v>
      </c>
      <c r="C10" s="45" t="s">
        <v>323</v>
      </c>
      <c r="D10" s="45" t="s">
        <v>324</v>
      </c>
      <c r="E10" s="47" t="s">
        <v>325</v>
      </c>
      <c r="F10" s="85">
        <v>25035074</v>
      </c>
      <c r="G10" s="149"/>
      <c r="H10" s="101">
        <v>2</v>
      </c>
      <c r="I10" s="101">
        <v>3</v>
      </c>
      <c r="J10" s="101">
        <v>2</v>
      </c>
      <c r="K10" s="102">
        <v>2</v>
      </c>
      <c r="L10" s="101">
        <v>3</v>
      </c>
      <c r="M10" s="101">
        <v>2</v>
      </c>
      <c r="N10" s="101">
        <v>2</v>
      </c>
      <c r="O10" s="103">
        <f>AVERAGE(H10:N10)</f>
        <v>2.2857142857142856</v>
      </c>
      <c r="P10" s="104" t="s">
        <v>8</v>
      </c>
      <c r="Q10" s="51">
        <v>2</v>
      </c>
      <c r="R10" s="51">
        <v>3</v>
      </c>
      <c r="S10" s="51">
        <v>3</v>
      </c>
      <c r="T10" s="51">
        <v>2</v>
      </c>
      <c r="U10" s="101">
        <v>0</v>
      </c>
      <c r="V10" s="101">
        <v>0</v>
      </c>
      <c r="W10" s="103">
        <f t="shared" ref="W10" si="2">AVERAGE(Q10:V10)</f>
        <v>1.6666666666666667</v>
      </c>
      <c r="X10" s="105" t="s">
        <v>10</v>
      </c>
      <c r="Y10" s="105" t="s">
        <v>8</v>
      </c>
      <c r="Z10" s="150" t="s">
        <v>347</v>
      </c>
      <c r="AA10" s="108">
        <v>45917</v>
      </c>
      <c r="AB10" s="105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</row>
    <row r="11" spans="1:47" s="92" customFormat="1" ht="33" customHeight="1">
      <c r="A11" s="37" t="s">
        <v>368</v>
      </c>
      <c r="B11" s="84" t="s">
        <v>175</v>
      </c>
      <c r="C11" s="45"/>
      <c r="D11" s="45"/>
      <c r="E11" s="45"/>
      <c r="F11" s="86"/>
      <c r="G11" s="153"/>
      <c r="H11" s="101">
        <v>2</v>
      </c>
      <c r="I11" s="101">
        <v>3</v>
      </c>
      <c r="J11" s="101">
        <v>2</v>
      </c>
      <c r="K11" s="101">
        <v>2</v>
      </c>
      <c r="L11" s="101">
        <v>3</v>
      </c>
      <c r="M11" s="101">
        <v>2</v>
      </c>
      <c r="N11" s="101">
        <v>2</v>
      </c>
      <c r="O11" s="103">
        <f>AVERAGE(H11:N11)</f>
        <v>2.2857142857142856</v>
      </c>
      <c r="P11" s="104" t="s">
        <v>8</v>
      </c>
      <c r="Q11" s="51">
        <v>2</v>
      </c>
      <c r="R11" s="51">
        <v>3</v>
      </c>
      <c r="S11" s="51">
        <v>3</v>
      </c>
      <c r="T11" s="51">
        <v>2</v>
      </c>
      <c r="U11" s="101">
        <v>0</v>
      </c>
      <c r="V11" s="101">
        <v>0</v>
      </c>
      <c r="W11" s="103">
        <f t="shared" si="1"/>
        <v>1.6666666666666667</v>
      </c>
      <c r="X11" s="105" t="s">
        <v>10</v>
      </c>
      <c r="Y11" s="105" t="s">
        <v>8</v>
      </c>
      <c r="Z11" s="150" t="s">
        <v>347</v>
      </c>
      <c r="AA11" s="108">
        <v>45917</v>
      </c>
      <c r="AB11" s="105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</row>
    <row r="12" spans="1:47">
      <c r="A12" s="38"/>
      <c r="B12" s="38"/>
      <c r="Q12" s="13"/>
      <c r="R12" s="13"/>
      <c r="S12" s="13"/>
      <c r="T12" s="13"/>
      <c r="U12" s="13"/>
      <c r="V12" s="13"/>
      <c r="Y12" s="54"/>
      <c r="Z12" s="54"/>
      <c r="AA12" s="54"/>
    </row>
    <row r="13" spans="1:47" s="69" customFormat="1" ht="30.75" customHeight="1">
      <c r="A13" s="156" t="s">
        <v>86</v>
      </c>
      <c r="B13" s="178"/>
      <c r="C13" s="178"/>
      <c r="D13" s="178"/>
      <c r="E13" s="178"/>
      <c r="F13" s="178"/>
      <c r="G13" s="179"/>
      <c r="Q13" s="1"/>
      <c r="R13" s="1"/>
      <c r="S13" s="13"/>
      <c r="T13" s="13"/>
      <c r="U13" s="13"/>
      <c r="V13" s="13"/>
      <c r="Y13" s="68"/>
      <c r="Z13" s="68"/>
      <c r="AA13" s="68"/>
    </row>
    <row r="14" spans="1:47" s="69" customFormat="1" ht="30.75" customHeight="1">
      <c r="A14" s="155" t="s">
        <v>9</v>
      </c>
      <c r="B14" s="155"/>
      <c r="C14" s="156"/>
      <c r="D14" s="155" t="s">
        <v>12</v>
      </c>
      <c r="E14" s="155"/>
      <c r="F14" s="155"/>
      <c r="G14" s="155"/>
      <c r="Q14" s="112"/>
      <c r="R14" s="112"/>
      <c r="S14" s="13"/>
      <c r="T14" s="13"/>
      <c r="U14" s="13"/>
      <c r="V14" s="13"/>
      <c r="Y14" s="68"/>
      <c r="Z14" s="68"/>
      <c r="AA14" s="68"/>
    </row>
    <row r="15" spans="1:47" s="69" customFormat="1" ht="30.75" customHeight="1">
      <c r="A15" s="183" t="s">
        <v>2</v>
      </c>
      <c r="B15" s="183"/>
      <c r="C15" s="65" t="s">
        <v>37</v>
      </c>
      <c r="D15" s="28" t="s">
        <v>8</v>
      </c>
      <c r="E15" s="181" t="s">
        <v>40</v>
      </c>
      <c r="F15" s="181"/>
      <c r="G15" s="181"/>
      <c r="Q15" s="99"/>
      <c r="R15" s="99"/>
      <c r="S15" s="99"/>
      <c r="T15" s="99"/>
      <c r="U15" s="99"/>
      <c r="V15" s="99"/>
      <c r="Y15" s="68"/>
      <c r="Z15" s="68"/>
      <c r="AA15" s="68"/>
    </row>
    <row r="16" spans="1:47" s="69" customFormat="1" ht="30.75" customHeight="1">
      <c r="A16" s="183" t="s">
        <v>3</v>
      </c>
      <c r="B16" s="183"/>
      <c r="C16" s="66" t="s">
        <v>38</v>
      </c>
      <c r="D16" s="28" t="s">
        <v>10</v>
      </c>
      <c r="E16" s="181" t="s">
        <v>13</v>
      </c>
      <c r="F16" s="181"/>
      <c r="G16" s="181"/>
      <c r="Q16" s="110"/>
      <c r="R16" s="110"/>
      <c r="S16" s="110"/>
      <c r="T16" s="110"/>
      <c r="U16" s="110"/>
      <c r="V16" s="110"/>
      <c r="Y16" s="68"/>
      <c r="Z16" s="68"/>
      <c r="AA16" s="68"/>
    </row>
    <row r="17" spans="1:27" s="69" customFormat="1" ht="30.75" customHeight="1">
      <c r="A17" s="183" t="s">
        <v>4</v>
      </c>
      <c r="B17" s="183"/>
      <c r="C17" s="67" t="s">
        <v>20</v>
      </c>
      <c r="D17" s="28" t="s">
        <v>11</v>
      </c>
      <c r="E17" s="182" t="s">
        <v>14</v>
      </c>
      <c r="F17" s="182"/>
      <c r="G17" s="182"/>
      <c r="Q17" s="111"/>
      <c r="R17" s="111"/>
      <c r="S17" s="111"/>
      <c r="T17" s="111"/>
      <c r="U17" s="111"/>
      <c r="V17" s="111"/>
      <c r="Y17" s="68"/>
      <c r="Z17" s="68"/>
      <c r="AA17" s="68"/>
    </row>
    <row r="18" spans="1:27" s="69" customFormat="1" ht="30.75" customHeight="1">
      <c r="A18" s="183" t="s">
        <v>5</v>
      </c>
      <c r="B18" s="183"/>
      <c r="C18" s="32" t="s">
        <v>19</v>
      </c>
      <c r="D18" s="39"/>
      <c r="E18" s="39"/>
      <c r="F18" s="39"/>
      <c r="G18" s="39"/>
      <c r="Q18" s="18"/>
      <c r="R18" s="18"/>
      <c r="S18" s="18"/>
      <c r="T18" s="18"/>
      <c r="U18" s="18"/>
      <c r="V18" s="18"/>
      <c r="Y18" s="68"/>
      <c r="Z18" s="68"/>
      <c r="AA18" s="68"/>
    </row>
    <row r="19" spans="1:27" s="69" customFormat="1" ht="16.5" customHeight="1">
      <c r="A19" s="2"/>
      <c r="B19" s="2"/>
      <c r="C19" s="68"/>
      <c r="D19" s="68"/>
      <c r="E19" s="68"/>
      <c r="F19" s="68"/>
      <c r="G19" s="68"/>
      <c r="Q19" s="18"/>
      <c r="R19" s="18"/>
      <c r="S19" s="18"/>
      <c r="T19" s="18"/>
      <c r="U19" s="18"/>
      <c r="V19" s="18"/>
      <c r="Y19" s="68"/>
      <c r="Z19" s="68"/>
      <c r="AA19" s="68"/>
    </row>
    <row r="20" spans="1:27" s="69" customFormat="1" ht="30.75" customHeight="1">
      <c r="A20" s="180" t="s">
        <v>6</v>
      </c>
      <c r="B20" s="180"/>
      <c r="C20" s="40"/>
      <c r="D20" s="40"/>
      <c r="E20" s="40"/>
      <c r="F20" s="40"/>
      <c r="G20" s="40"/>
      <c r="Q20" s="98"/>
      <c r="R20" s="98"/>
      <c r="S20" s="98"/>
      <c r="T20" s="98"/>
      <c r="U20" s="98"/>
      <c r="V20" s="98"/>
      <c r="Y20" s="68"/>
      <c r="Z20" s="68"/>
      <c r="AA20" s="68"/>
    </row>
    <row r="21" spans="1:27">
      <c r="A21" s="3"/>
      <c r="B21" s="3"/>
      <c r="C21" s="54"/>
      <c r="D21" s="54"/>
      <c r="E21" s="54"/>
      <c r="F21" s="54"/>
      <c r="G21" s="54"/>
      <c r="Q21" s="98"/>
      <c r="R21" s="98"/>
      <c r="S21" s="98"/>
      <c r="T21" s="98"/>
      <c r="U21" s="98"/>
      <c r="V21" s="98"/>
      <c r="Y21" s="54"/>
      <c r="Z21" s="54"/>
      <c r="AA21" s="54"/>
    </row>
  </sheetData>
  <mergeCells count="28">
    <mergeCell ref="A18:B18"/>
    <mergeCell ref="A20:B20"/>
    <mergeCell ref="A1:W2"/>
    <mergeCell ref="Y6:Y7"/>
    <mergeCell ref="Z6:AA6"/>
    <mergeCell ref="A15:B15"/>
    <mergeCell ref="E15:G15"/>
    <mergeCell ref="A16:B16"/>
    <mergeCell ref="E16:G16"/>
    <mergeCell ref="A17:B17"/>
    <mergeCell ref="E17:G17"/>
    <mergeCell ref="E6:E7"/>
    <mergeCell ref="F6:F7"/>
    <mergeCell ref="G6:G7"/>
    <mergeCell ref="A13:G13"/>
    <mergeCell ref="H6:N6"/>
    <mergeCell ref="A14:C14"/>
    <mergeCell ref="D14:G14"/>
    <mergeCell ref="A6:A7"/>
    <mergeCell ref="B6:B7"/>
    <mergeCell ref="C6:C7"/>
    <mergeCell ref="D6:D7"/>
    <mergeCell ref="X1:AB1"/>
    <mergeCell ref="X2:AB2"/>
    <mergeCell ref="O6:P7"/>
    <mergeCell ref="W6:X7"/>
    <mergeCell ref="AB6:AB7"/>
    <mergeCell ref="Q6:V6"/>
  </mergeCells>
  <conditionalFormatting sqref="X10:AA10 X9:Y11 P8:P11 X8:AA8 Z10:AA11">
    <cfRule type="cellIs" dxfId="1135" priority="193" stopIfTrue="1" operator="equal">
      <formula>"C"</formula>
    </cfRule>
    <cfRule type="cellIs" dxfId="1134" priority="194" stopIfTrue="1" operator="equal">
      <formula>"C"</formula>
    </cfRule>
    <cfRule type="cellIs" dxfId="1133" priority="195" stopIfTrue="1" operator="equal">
      <formula>"B"</formula>
    </cfRule>
    <cfRule type="cellIs" dxfId="1132" priority="196" stopIfTrue="1" operator="equal">
      <formula>"A"</formula>
    </cfRule>
  </conditionalFormatting>
  <conditionalFormatting sqref="Z8:AA11">
    <cfRule type="cellIs" dxfId="631" priority="1" stopIfTrue="1" operator="equal">
      <formula>"C"</formula>
    </cfRule>
    <cfRule type="cellIs" dxfId="630" priority="2" stopIfTrue="1" operator="equal">
      <formula>"C"</formula>
    </cfRule>
    <cfRule type="cellIs" dxfId="629" priority="3" stopIfTrue="1" operator="equal">
      <formula>"B"</formula>
    </cfRule>
    <cfRule type="cellIs" dxfId="628" priority="4" stopIfTrue="1" operator="equal">
      <formula>"A"</formula>
    </cfRule>
  </conditionalFormatting>
  <dataValidations count="2">
    <dataValidation type="list" allowBlank="1" showInputMessage="1" showErrorMessage="1" sqref="Q65538:V65547 Q917506:V917515 Q851970:V851979 Q786434:V786443 Q720898:V720907 Q655362:V655371 Q589826:V589835 Q524290:V524299 Q458754:V458763 Q393218:V393227 Q327682:V327691 Q262146:V262155 Q196610:V196619 Q131074:V131083 Q983042:V983051 Q8:V11">
      <formula1>"0, 1, 2, 3"</formula1>
    </dataValidation>
    <dataValidation type="list" allowBlank="1" showInputMessage="1" showErrorMessage="1" sqref="P8:P11 X8:Y11">
      <formula1>"A, B, C"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0"/>
  <sheetViews>
    <sheetView view="pageBreakPreview" topLeftCell="G1" zoomScale="90" zoomScaleNormal="106" zoomScaleSheetLayoutView="90" workbookViewId="0">
      <selection activeCell="W10" sqref="W10:X10"/>
    </sheetView>
  </sheetViews>
  <sheetFormatPr baseColWidth="10" defaultColWidth="11.5703125" defaultRowHeight="12.75"/>
  <cols>
    <col min="1" max="1" width="12.28515625" style="9" customWidth="1"/>
    <col min="2" max="2" width="30.8554687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23.5703125" customWidth="1"/>
    <col min="8" max="8" width="11.28515625" style="10" customWidth="1"/>
    <col min="9" max="9" width="7.28515625" style="10" customWidth="1"/>
    <col min="10" max="10" width="4.85546875" style="10" customWidth="1"/>
    <col min="11" max="12" width="8.5703125" style="10" customWidth="1"/>
    <col min="13" max="13" width="9.5703125" style="10" customWidth="1"/>
    <col min="14" max="14" width="10.140625" style="10" customWidth="1"/>
    <col min="15" max="15" width="7.7109375" style="10" customWidth="1"/>
    <col min="16" max="16" width="7.140625" style="10" customWidth="1"/>
    <col min="17" max="17" width="11.5703125" style="10" customWidth="1"/>
    <col min="18" max="18" width="8.7109375" style="10" customWidth="1"/>
    <col min="19" max="19" width="8.85546875" style="10" customWidth="1"/>
    <col min="20" max="20" width="6.28515625" style="10" customWidth="1"/>
    <col min="21" max="21" width="5.42578125" style="10" customWidth="1"/>
    <col min="22" max="22" width="7.85546875" customWidth="1"/>
    <col min="23" max="24" width="11.42578125" customWidth="1"/>
    <col min="25" max="25" width="16" style="10" customWidth="1"/>
    <col min="26" max="29" width="11.5703125" style="10"/>
    <col min="30" max="44" width="11.5703125" style="11"/>
    <col min="45" max="16384" width="11.5703125" style="12"/>
  </cols>
  <sheetData>
    <row r="1" spans="1:44" customFormat="1" ht="24.75" customHeight="1">
      <c r="A1" s="27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4"/>
      <c r="Y1" s="21" t="s">
        <v>21</v>
      </c>
    </row>
    <row r="2" spans="1:44" customFormat="1" ht="27" customHeight="1">
      <c r="A2" s="27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7"/>
      <c r="Y2" s="21">
        <v>3</v>
      </c>
    </row>
    <row r="3" spans="1:44" customFormat="1" ht="15.75" customHeight="1">
      <c r="A3" s="31"/>
      <c r="B3" s="31"/>
      <c r="C3" s="42"/>
      <c r="D3" s="42"/>
      <c r="E3" s="42"/>
      <c r="F3" s="42"/>
      <c r="G3" s="42"/>
      <c r="H3" s="13"/>
      <c r="I3" s="17"/>
      <c r="J3" s="17"/>
      <c r="K3" s="17"/>
      <c r="L3" s="17"/>
      <c r="M3" s="17"/>
      <c r="N3" s="17"/>
      <c r="O3" s="17"/>
      <c r="P3" s="17"/>
      <c r="Q3" s="17"/>
      <c r="R3" s="14"/>
      <c r="S3" s="15"/>
      <c r="T3" s="15"/>
      <c r="U3" s="15"/>
      <c r="V3" s="42"/>
      <c r="W3" s="50"/>
      <c r="X3" s="50"/>
      <c r="Y3" s="14"/>
      <c r="AB3" s="2"/>
    </row>
    <row r="4" spans="1:44" customFormat="1" ht="33.75" customHeight="1">
      <c r="A4" s="22" t="s">
        <v>15</v>
      </c>
      <c r="B4" s="51" t="s">
        <v>43</v>
      </c>
      <c r="C4" s="30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4"/>
      <c r="S4" s="15"/>
      <c r="T4" s="15"/>
      <c r="U4" s="15"/>
      <c r="V4" s="17"/>
      <c r="W4" s="46"/>
      <c r="X4" s="46"/>
      <c r="Y4" s="14"/>
      <c r="AB4" s="2"/>
    </row>
    <row r="5" spans="1:44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/>
      <c r="W5"/>
      <c r="X5"/>
      <c r="Y5" s="2"/>
      <c r="Z5" s="2"/>
      <c r="AA5" s="2"/>
      <c r="AB5" s="2"/>
      <c r="AC5" s="2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s="6" customFormat="1" ht="33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165"/>
      <c r="Q6" s="161" t="s">
        <v>1</v>
      </c>
      <c r="R6" s="162"/>
      <c r="S6" s="163"/>
      <c r="T6" s="164" t="s">
        <v>7</v>
      </c>
      <c r="U6" s="165"/>
      <c r="V6" s="168" t="s">
        <v>85</v>
      </c>
      <c r="W6" s="161" t="s">
        <v>82</v>
      </c>
      <c r="X6" s="162"/>
      <c r="Y6" s="168" t="s">
        <v>18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s="8" customFormat="1" ht="59.25" customHeight="1">
      <c r="A7" s="168"/>
      <c r="B7" s="168"/>
      <c r="C7" s="168"/>
      <c r="D7" s="168"/>
      <c r="E7" s="168"/>
      <c r="F7" s="168"/>
      <c r="G7" s="168"/>
      <c r="H7" s="96" t="s">
        <v>23</v>
      </c>
      <c r="I7" s="53" t="s">
        <v>26</v>
      </c>
      <c r="J7" s="53" t="s">
        <v>27</v>
      </c>
      <c r="K7" s="53" t="s">
        <v>28</v>
      </c>
      <c r="L7" s="53" t="s">
        <v>29</v>
      </c>
      <c r="M7" s="53" t="s">
        <v>30</v>
      </c>
      <c r="N7" s="53" t="s">
        <v>67</v>
      </c>
      <c r="O7" s="166"/>
      <c r="P7" s="167"/>
      <c r="Q7" s="53" t="s">
        <v>71</v>
      </c>
      <c r="R7" s="53" t="s">
        <v>31</v>
      </c>
      <c r="S7" s="53" t="s">
        <v>32</v>
      </c>
      <c r="T7" s="166"/>
      <c r="U7" s="167"/>
      <c r="V7" s="168"/>
      <c r="W7" s="53" t="s">
        <v>83</v>
      </c>
      <c r="X7" s="53" t="s">
        <v>84</v>
      </c>
      <c r="Y7" s="168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s="41" customFormat="1" ht="26.25" customHeight="1">
      <c r="A8" s="93" t="s">
        <v>153</v>
      </c>
      <c r="B8" s="84" t="s">
        <v>154</v>
      </c>
      <c r="C8" s="45" t="s">
        <v>155</v>
      </c>
      <c r="D8" s="45" t="s">
        <v>156</v>
      </c>
      <c r="E8" s="47" t="s">
        <v>154</v>
      </c>
      <c r="F8" s="86">
        <v>99264530</v>
      </c>
      <c r="G8" s="49"/>
      <c r="H8" s="51">
        <v>3</v>
      </c>
      <c r="I8" s="51">
        <v>3</v>
      </c>
      <c r="J8" s="51">
        <v>2</v>
      </c>
      <c r="K8" s="51">
        <v>3</v>
      </c>
      <c r="L8" s="51">
        <v>3</v>
      </c>
      <c r="M8" s="51">
        <v>1</v>
      </c>
      <c r="N8" s="51">
        <v>2</v>
      </c>
      <c r="O8" s="103">
        <f>AVERAGE(H8:N8)</f>
        <v>2.4285714285714284</v>
      </c>
      <c r="P8" s="105" t="s">
        <v>8</v>
      </c>
      <c r="Q8" s="51">
        <v>3</v>
      </c>
      <c r="R8" s="51">
        <v>3</v>
      </c>
      <c r="S8" s="51">
        <v>3</v>
      </c>
      <c r="T8" s="103">
        <f>AVERAGE(Q8:S8)</f>
        <v>3</v>
      </c>
      <c r="U8" s="105" t="s">
        <v>8</v>
      </c>
      <c r="V8" s="105" t="s">
        <v>8</v>
      </c>
      <c r="W8" s="150" t="s">
        <v>347</v>
      </c>
      <c r="X8" s="108">
        <v>45917</v>
      </c>
      <c r="Y8" s="105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</row>
    <row r="9" spans="1:44" s="41" customFormat="1" ht="26.25" customHeight="1">
      <c r="A9" s="93" t="s">
        <v>371</v>
      </c>
      <c r="B9" s="84" t="s">
        <v>356</v>
      </c>
      <c r="C9" s="45"/>
      <c r="D9" s="45"/>
      <c r="E9" s="47" t="s">
        <v>356</v>
      </c>
      <c r="F9" s="85"/>
      <c r="G9" s="47"/>
      <c r="H9" s="51">
        <v>3</v>
      </c>
      <c r="I9" s="51">
        <v>3</v>
      </c>
      <c r="J9" s="51">
        <v>2</v>
      </c>
      <c r="K9" s="51">
        <v>3</v>
      </c>
      <c r="L9" s="51">
        <v>3</v>
      </c>
      <c r="M9" s="51">
        <v>1</v>
      </c>
      <c r="N9" s="51">
        <v>2</v>
      </c>
      <c r="O9" s="103">
        <f t="shared" ref="O9:O10" si="0">AVERAGE(H9:N9)</f>
        <v>2.4285714285714284</v>
      </c>
      <c r="P9" s="105" t="s">
        <v>8</v>
      </c>
      <c r="Q9" s="51">
        <v>3</v>
      </c>
      <c r="R9" s="51">
        <v>3</v>
      </c>
      <c r="S9" s="51">
        <v>3</v>
      </c>
      <c r="T9" s="103">
        <f t="shared" ref="T9:T10" si="1">AVERAGE(Q9:S9)</f>
        <v>3</v>
      </c>
      <c r="U9" s="105" t="s">
        <v>8</v>
      </c>
      <c r="V9" s="105" t="s">
        <v>8</v>
      </c>
      <c r="W9" s="150" t="s">
        <v>347</v>
      </c>
      <c r="X9" s="108">
        <v>45917</v>
      </c>
      <c r="Y9" s="105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</row>
    <row r="10" spans="1:44" s="41" customFormat="1" ht="26.25" customHeight="1">
      <c r="A10" s="93" t="s">
        <v>369</v>
      </c>
      <c r="B10" s="84" t="s">
        <v>357</v>
      </c>
      <c r="C10" s="45"/>
      <c r="D10" s="45"/>
      <c r="E10" s="47" t="s">
        <v>385</v>
      </c>
      <c r="F10" s="86" t="s">
        <v>386</v>
      </c>
      <c r="G10" s="47"/>
      <c r="H10" s="51">
        <v>2</v>
      </c>
      <c r="I10" s="51">
        <v>3</v>
      </c>
      <c r="J10" s="51">
        <v>2</v>
      </c>
      <c r="K10" s="51">
        <v>3</v>
      </c>
      <c r="L10" s="51">
        <v>3</v>
      </c>
      <c r="M10" s="51">
        <v>2</v>
      </c>
      <c r="N10" s="51">
        <v>2</v>
      </c>
      <c r="O10" s="103">
        <f t="shared" si="0"/>
        <v>2.4285714285714284</v>
      </c>
      <c r="P10" s="105" t="s">
        <v>8</v>
      </c>
      <c r="Q10" s="51">
        <v>2</v>
      </c>
      <c r="R10" s="51">
        <v>3</v>
      </c>
      <c r="S10" s="51">
        <v>3</v>
      </c>
      <c r="T10" s="103">
        <f t="shared" si="1"/>
        <v>2.6666666666666665</v>
      </c>
      <c r="U10" s="105" t="s">
        <v>8</v>
      </c>
      <c r="V10" s="105" t="s">
        <v>8</v>
      </c>
      <c r="W10" s="150" t="s">
        <v>347</v>
      </c>
      <c r="X10" s="108">
        <v>45917</v>
      </c>
      <c r="Y10" s="105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</row>
    <row r="11" spans="1:44">
      <c r="A11" s="38"/>
      <c r="B11" s="38"/>
      <c r="V11" s="54"/>
      <c r="W11" s="54"/>
      <c r="X11" s="54"/>
    </row>
    <row r="12" spans="1:44" s="69" customFormat="1" ht="26.25" customHeight="1">
      <c r="A12" s="156" t="s">
        <v>86</v>
      </c>
      <c r="B12" s="178"/>
      <c r="C12" s="178"/>
      <c r="D12" s="178"/>
      <c r="E12" s="178"/>
      <c r="F12" s="178"/>
      <c r="G12" s="17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68"/>
      <c r="W12" s="68"/>
      <c r="X12" s="68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:44" s="69" customFormat="1" ht="26.25" customHeight="1">
      <c r="A13" s="155" t="s">
        <v>9</v>
      </c>
      <c r="B13" s="155"/>
      <c r="C13" s="156"/>
      <c r="D13" s="155" t="s">
        <v>12</v>
      </c>
      <c r="E13" s="155"/>
      <c r="F13" s="155"/>
      <c r="G13" s="15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68"/>
      <c r="W13" s="68"/>
      <c r="X13" s="68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</row>
    <row r="14" spans="1:44" s="69" customFormat="1" ht="26.25" customHeight="1">
      <c r="A14" s="183" t="s">
        <v>2</v>
      </c>
      <c r="B14" s="183"/>
      <c r="C14" s="65" t="s">
        <v>37</v>
      </c>
      <c r="D14" s="28" t="s">
        <v>8</v>
      </c>
      <c r="E14" s="181" t="s">
        <v>40</v>
      </c>
      <c r="F14" s="181"/>
      <c r="G14" s="181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68"/>
      <c r="W14" s="68"/>
      <c r="X14" s="68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:44" s="69" customFormat="1" ht="26.25" customHeight="1">
      <c r="A15" s="183" t="s">
        <v>3</v>
      </c>
      <c r="B15" s="183"/>
      <c r="C15" s="66" t="s">
        <v>38</v>
      </c>
      <c r="D15" s="28" t="s">
        <v>10</v>
      </c>
      <c r="E15" s="181" t="s">
        <v>13</v>
      </c>
      <c r="F15" s="181"/>
      <c r="G15" s="181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68"/>
      <c r="W15" s="68"/>
      <c r="X15" s="68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</row>
    <row r="16" spans="1:44" s="69" customFormat="1" ht="26.25" customHeight="1">
      <c r="A16" s="183" t="s">
        <v>4</v>
      </c>
      <c r="B16" s="183"/>
      <c r="C16" s="67" t="s">
        <v>20</v>
      </c>
      <c r="D16" s="28" t="s">
        <v>11</v>
      </c>
      <c r="E16" s="182" t="s">
        <v>14</v>
      </c>
      <c r="F16" s="182"/>
      <c r="G16" s="182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68"/>
      <c r="W16" s="68"/>
      <c r="X16" s="68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</row>
    <row r="17" spans="1:44" s="69" customFormat="1" ht="26.25" customHeight="1">
      <c r="A17" s="183" t="s">
        <v>5</v>
      </c>
      <c r="B17" s="183"/>
      <c r="C17" s="154">
        <v>0</v>
      </c>
      <c r="D17" s="39"/>
      <c r="E17" s="39"/>
      <c r="F17" s="39"/>
      <c r="G17" s="39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68"/>
      <c r="W17" s="68"/>
      <c r="X17" s="68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1:44" s="69" customFormat="1" ht="26.25" customHeight="1">
      <c r="A18" s="2"/>
      <c r="B18" s="2"/>
      <c r="C18" s="68"/>
      <c r="D18" s="68"/>
      <c r="E18" s="68"/>
      <c r="F18" s="68"/>
      <c r="G18" s="6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68"/>
      <c r="W18" s="68"/>
      <c r="X18" s="68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1:44" s="69" customFormat="1" ht="26.25" customHeight="1">
      <c r="A19" s="180" t="s">
        <v>6</v>
      </c>
      <c r="B19" s="180"/>
      <c r="C19" s="40"/>
      <c r="D19" s="40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68"/>
      <c r="W19" s="68"/>
      <c r="X19" s="68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>
      <c r="A20" s="3"/>
      <c r="B20" s="3"/>
      <c r="C20" s="54"/>
      <c r="D20" s="54"/>
      <c r="E20" s="54"/>
      <c r="F20" s="54"/>
      <c r="G20" s="54"/>
      <c r="V20" s="54"/>
      <c r="W20" s="54"/>
      <c r="X20" s="54"/>
    </row>
  </sheetData>
  <mergeCells count="26">
    <mergeCell ref="A19:B19"/>
    <mergeCell ref="V6:V7"/>
    <mergeCell ref="W6:X6"/>
    <mergeCell ref="A17:B17"/>
    <mergeCell ref="G6:G7"/>
    <mergeCell ref="B1:X2"/>
    <mergeCell ref="A15:B15"/>
    <mergeCell ref="E15:G15"/>
    <mergeCell ref="A16:B16"/>
    <mergeCell ref="E16:G16"/>
    <mergeCell ref="A12:G12"/>
    <mergeCell ref="A13:C13"/>
    <mergeCell ref="D13:G13"/>
    <mergeCell ref="A14:B14"/>
    <mergeCell ref="E14:G14"/>
    <mergeCell ref="A6:A7"/>
    <mergeCell ref="B6:B7"/>
    <mergeCell ref="C6:C7"/>
    <mergeCell ref="D6:D7"/>
    <mergeCell ref="E6:E7"/>
    <mergeCell ref="F6:F7"/>
    <mergeCell ref="Y6:Y7"/>
    <mergeCell ref="H6:N6"/>
    <mergeCell ref="O6:P7"/>
    <mergeCell ref="T6:U7"/>
    <mergeCell ref="Q6:S6"/>
  </mergeCells>
  <conditionalFormatting sqref="P8:P10 U8:X10">
    <cfRule type="cellIs" dxfId="1131" priority="189" stopIfTrue="1" operator="equal">
      <formula>"C"</formula>
    </cfRule>
    <cfRule type="cellIs" dxfId="1130" priority="190" stopIfTrue="1" operator="equal">
      <formula>"C"</formula>
    </cfRule>
    <cfRule type="cellIs" dxfId="1129" priority="191" stopIfTrue="1" operator="equal">
      <formula>"B"</formula>
    </cfRule>
    <cfRule type="cellIs" dxfId="1128" priority="192" stopIfTrue="1" operator="equal">
      <formula>"A"</formula>
    </cfRule>
  </conditionalFormatting>
  <conditionalFormatting sqref="W8:X10">
    <cfRule type="cellIs" dxfId="1127" priority="137" stopIfTrue="1" operator="equal">
      <formula>"C"</formula>
    </cfRule>
    <cfRule type="cellIs" dxfId="1126" priority="138" stopIfTrue="1" operator="equal">
      <formula>"C"</formula>
    </cfRule>
    <cfRule type="cellIs" dxfId="1125" priority="139" stopIfTrue="1" operator="equal">
      <formula>"B"</formula>
    </cfRule>
    <cfRule type="cellIs" dxfId="1124" priority="140" stopIfTrue="1" operator="equal">
      <formula>"A"</formula>
    </cfRule>
  </conditionalFormatting>
  <conditionalFormatting sqref="W8:X10">
    <cfRule type="cellIs" dxfId="1123" priority="133" stopIfTrue="1" operator="equal">
      <formula>"C"</formula>
    </cfRule>
    <cfRule type="cellIs" dxfId="1122" priority="134" stopIfTrue="1" operator="equal">
      <formula>"C"</formula>
    </cfRule>
    <cfRule type="cellIs" dxfId="1121" priority="135" stopIfTrue="1" operator="equal">
      <formula>"B"</formula>
    </cfRule>
    <cfRule type="cellIs" dxfId="1120" priority="136" stopIfTrue="1" operator="equal">
      <formula>"A"</formula>
    </cfRule>
  </conditionalFormatting>
  <conditionalFormatting sqref="W8:X9">
    <cfRule type="cellIs" dxfId="1119" priority="129" stopIfTrue="1" operator="equal">
      <formula>"C"</formula>
    </cfRule>
    <cfRule type="cellIs" dxfId="1118" priority="130" stopIfTrue="1" operator="equal">
      <formula>"C"</formula>
    </cfRule>
    <cfRule type="cellIs" dxfId="1117" priority="131" stopIfTrue="1" operator="equal">
      <formula>"B"</formula>
    </cfRule>
    <cfRule type="cellIs" dxfId="1116" priority="132" stopIfTrue="1" operator="equal">
      <formula>"A"</formula>
    </cfRule>
  </conditionalFormatting>
  <conditionalFormatting sqref="W8:X9">
    <cfRule type="cellIs" dxfId="1115" priority="125" stopIfTrue="1" operator="equal">
      <formula>"C"</formula>
    </cfRule>
    <cfRule type="cellIs" dxfId="1114" priority="126" stopIfTrue="1" operator="equal">
      <formula>"C"</formula>
    </cfRule>
    <cfRule type="cellIs" dxfId="1113" priority="127" stopIfTrue="1" operator="equal">
      <formula>"B"</formula>
    </cfRule>
    <cfRule type="cellIs" dxfId="1112" priority="128" stopIfTrue="1" operator="equal">
      <formula>"A"</formula>
    </cfRule>
  </conditionalFormatting>
  <conditionalFormatting sqref="W10:X10">
    <cfRule type="cellIs" dxfId="1111" priority="121" stopIfTrue="1" operator="equal">
      <formula>"C"</formula>
    </cfRule>
    <cfRule type="cellIs" dxfId="1110" priority="122" stopIfTrue="1" operator="equal">
      <formula>"C"</formula>
    </cfRule>
    <cfRule type="cellIs" dxfId="1109" priority="123" stopIfTrue="1" operator="equal">
      <formula>"B"</formula>
    </cfRule>
    <cfRule type="cellIs" dxfId="1108" priority="124" stopIfTrue="1" operator="equal">
      <formula>"A"</formula>
    </cfRule>
  </conditionalFormatting>
  <conditionalFormatting sqref="W10:X10">
    <cfRule type="cellIs" dxfId="1107" priority="117" stopIfTrue="1" operator="equal">
      <formula>"C"</formula>
    </cfRule>
    <cfRule type="cellIs" dxfId="1106" priority="118" stopIfTrue="1" operator="equal">
      <formula>"C"</formula>
    </cfRule>
    <cfRule type="cellIs" dxfId="1105" priority="119" stopIfTrue="1" operator="equal">
      <formula>"B"</formula>
    </cfRule>
    <cfRule type="cellIs" dxfId="1104" priority="120" stopIfTrue="1" operator="equal">
      <formula>"A"</formula>
    </cfRule>
  </conditionalFormatting>
  <conditionalFormatting sqref="W8:X9">
    <cfRule type="cellIs" dxfId="1103" priority="113" stopIfTrue="1" operator="equal">
      <formula>"C"</formula>
    </cfRule>
    <cfRule type="cellIs" dxfId="1102" priority="114" stopIfTrue="1" operator="equal">
      <formula>"C"</formula>
    </cfRule>
    <cfRule type="cellIs" dxfId="1101" priority="115" stopIfTrue="1" operator="equal">
      <formula>"B"</formula>
    </cfRule>
    <cfRule type="cellIs" dxfId="1100" priority="116" stopIfTrue="1" operator="equal">
      <formula>"A"</formula>
    </cfRule>
  </conditionalFormatting>
  <conditionalFormatting sqref="W8:X9">
    <cfRule type="cellIs" dxfId="1099" priority="109" stopIfTrue="1" operator="equal">
      <formula>"C"</formula>
    </cfRule>
    <cfRule type="cellIs" dxfId="1098" priority="110" stopIfTrue="1" operator="equal">
      <formula>"C"</formula>
    </cfRule>
    <cfRule type="cellIs" dxfId="1097" priority="111" stopIfTrue="1" operator="equal">
      <formula>"B"</formula>
    </cfRule>
    <cfRule type="cellIs" dxfId="1096" priority="112" stopIfTrue="1" operator="equal">
      <formula>"A"</formula>
    </cfRule>
  </conditionalFormatting>
  <conditionalFormatting sqref="W8:X9">
    <cfRule type="cellIs" dxfId="1095" priority="105" stopIfTrue="1" operator="equal">
      <formula>"C"</formula>
    </cfRule>
    <cfRule type="cellIs" dxfId="1094" priority="106" stopIfTrue="1" operator="equal">
      <formula>"C"</formula>
    </cfRule>
    <cfRule type="cellIs" dxfId="1093" priority="107" stopIfTrue="1" operator="equal">
      <formula>"B"</formula>
    </cfRule>
    <cfRule type="cellIs" dxfId="1092" priority="108" stopIfTrue="1" operator="equal">
      <formula>"A"</formula>
    </cfRule>
  </conditionalFormatting>
  <conditionalFormatting sqref="W8:X9">
    <cfRule type="cellIs" dxfId="1091" priority="101" stopIfTrue="1" operator="equal">
      <formula>"C"</formula>
    </cfRule>
    <cfRule type="cellIs" dxfId="1090" priority="102" stopIfTrue="1" operator="equal">
      <formula>"C"</formula>
    </cfRule>
    <cfRule type="cellIs" dxfId="1089" priority="103" stopIfTrue="1" operator="equal">
      <formula>"B"</formula>
    </cfRule>
    <cfRule type="cellIs" dxfId="1088" priority="104" stopIfTrue="1" operator="equal">
      <formula>"A"</formula>
    </cfRule>
  </conditionalFormatting>
  <conditionalFormatting sqref="W8:X9">
    <cfRule type="cellIs" dxfId="1087" priority="97" stopIfTrue="1" operator="equal">
      <formula>"C"</formula>
    </cfRule>
    <cfRule type="cellIs" dxfId="1086" priority="98" stopIfTrue="1" operator="equal">
      <formula>"C"</formula>
    </cfRule>
    <cfRule type="cellIs" dxfId="1085" priority="99" stopIfTrue="1" operator="equal">
      <formula>"B"</formula>
    </cfRule>
    <cfRule type="cellIs" dxfId="1084" priority="100" stopIfTrue="1" operator="equal">
      <formula>"A"</formula>
    </cfRule>
  </conditionalFormatting>
  <conditionalFormatting sqref="W8:X9">
    <cfRule type="cellIs" dxfId="1083" priority="93" stopIfTrue="1" operator="equal">
      <formula>"C"</formula>
    </cfRule>
    <cfRule type="cellIs" dxfId="1082" priority="94" stopIfTrue="1" operator="equal">
      <formula>"C"</formula>
    </cfRule>
    <cfRule type="cellIs" dxfId="1081" priority="95" stopIfTrue="1" operator="equal">
      <formula>"B"</formula>
    </cfRule>
    <cfRule type="cellIs" dxfId="1080" priority="96" stopIfTrue="1" operator="equal">
      <formula>"A"</formula>
    </cfRule>
  </conditionalFormatting>
  <conditionalFormatting sqref="W8:X9">
    <cfRule type="cellIs" dxfId="1079" priority="89" stopIfTrue="1" operator="equal">
      <formula>"C"</formula>
    </cfRule>
    <cfRule type="cellIs" dxfId="1078" priority="90" stopIfTrue="1" operator="equal">
      <formula>"C"</formula>
    </cfRule>
    <cfRule type="cellIs" dxfId="1077" priority="91" stopIfTrue="1" operator="equal">
      <formula>"B"</formula>
    </cfRule>
    <cfRule type="cellIs" dxfId="1076" priority="92" stopIfTrue="1" operator="equal">
      <formula>"A"</formula>
    </cfRule>
  </conditionalFormatting>
  <conditionalFormatting sqref="W10:X10">
    <cfRule type="cellIs" dxfId="1075" priority="85" stopIfTrue="1" operator="equal">
      <formula>"C"</formula>
    </cfRule>
    <cfRule type="cellIs" dxfId="1074" priority="86" stopIfTrue="1" operator="equal">
      <formula>"C"</formula>
    </cfRule>
    <cfRule type="cellIs" dxfId="1073" priority="87" stopIfTrue="1" operator="equal">
      <formula>"B"</formula>
    </cfRule>
    <cfRule type="cellIs" dxfId="1072" priority="88" stopIfTrue="1" operator="equal">
      <formula>"A"</formula>
    </cfRule>
  </conditionalFormatting>
  <conditionalFormatting sqref="W10:X10">
    <cfRule type="cellIs" dxfId="1071" priority="81" stopIfTrue="1" operator="equal">
      <formula>"C"</formula>
    </cfRule>
    <cfRule type="cellIs" dxfId="1070" priority="82" stopIfTrue="1" operator="equal">
      <formula>"C"</formula>
    </cfRule>
    <cfRule type="cellIs" dxfId="1069" priority="83" stopIfTrue="1" operator="equal">
      <formula>"B"</formula>
    </cfRule>
    <cfRule type="cellIs" dxfId="1068" priority="84" stopIfTrue="1" operator="equal">
      <formula>"A"</formula>
    </cfRule>
  </conditionalFormatting>
  <conditionalFormatting sqref="W10:X10">
    <cfRule type="cellIs" dxfId="1067" priority="77" stopIfTrue="1" operator="equal">
      <formula>"C"</formula>
    </cfRule>
    <cfRule type="cellIs" dxfId="1066" priority="78" stopIfTrue="1" operator="equal">
      <formula>"C"</formula>
    </cfRule>
    <cfRule type="cellIs" dxfId="1065" priority="79" stopIfTrue="1" operator="equal">
      <formula>"B"</formula>
    </cfRule>
    <cfRule type="cellIs" dxfId="1064" priority="80" stopIfTrue="1" operator="equal">
      <formula>"A"</formula>
    </cfRule>
  </conditionalFormatting>
  <conditionalFormatting sqref="W10:X10">
    <cfRule type="cellIs" dxfId="1063" priority="73" stopIfTrue="1" operator="equal">
      <formula>"C"</formula>
    </cfRule>
    <cfRule type="cellIs" dxfId="1062" priority="74" stopIfTrue="1" operator="equal">
      <formula>"C"</formula>
    </cfRule>
    <cfRule type="cellIs" dxfId="1061" priority="75" stopIfTrue="1" operator="equal">
      <formula>"B"</formula>
    </cfRule>
    <cfRule type="cellIs" dxfId="1060" priority="76" stopIfTrue="1" operator="equal">
      <formula>"A"</formula>
    </cfRule>
  </conditionalFormatting>
  <conditionalFormatting sqref="W10:X10">
    <cfRule type="cellIs" dxfId="1059" priority="69" stopIfTrue="1" operator="equal">
      <formula>"C"</formula>
    </cfRule>
    <cfRule type="cellIs" dxfId="1058" priority="70" stopIfTrue="1" operator="equal">
      <formula>"C"</formula>
    </cfRule>
    <cfRule type="cellIs" dxfId="1057" priority="71" stopIfTrue="1" operator="equal">
      <formula>"B"</formula>
    </cfRule>
    <cfRule type="cellIs" dxfId="1056" priority="72" stopIfTrue="1" operator="equal">
      <formula>"A"</formula>
    </cfRule>
  </conditionalFormatting>
  <conditionalFormatting sqref="W10:X10">
    <cfRule type="cellIs" dxfId="1055" priority="65" stopIfTrue="1" operator="equal">
      <formula>"C"</formula>
    </cfRule>
    <cfRule type="cellIs" dxfId="1054" priority="66" stopIfTrue="1" operator="equal">
      <formula>"C"</formula>
    </cfRule>
    <cfRule type="cellIs" dxfId="1053" priority="67" stopIfTrue="1" operator="equal">
      <formula>"B"</formula>
    </cfRule>
    <cfRule type="cellIs" dxfId="1052" priority="68" stopIfTrue="1" operator="equal">
      <formula>"A"</formula>
    </cfRule>
  </conditionalFormatting>
  <conditionalFormatting sqref="W10:X10">
    <cfRule type="cellIs" dxfId="1051" priority="61" stopIfTrue="1" operator="equal">
      <formula>"C"</formula>
    </cfRule>
    <cfRule type="cellIs" dxfId="1050" priority="62" stopIfTrue="1" operator="equal">
      <formula>"C"</formula>
    </cfRule>
    <cfRule type="cellIs" dxfId="1049" priority="63" stopIfTrue="1" operator="equal">
      <formula>"B"</formula>
    </cfRule>
    <cfRule type="cellIs" dxfId="1048" priority="64" stopIfTrue="1" operator="equal">
      <formula>"A"</formula>
    </cfRule>
  </conditionalFormatting>
  <conditionalFormatting sqref="W9:X9">
    <cfRule type="cellIs" dxfId="1047" priority="57" stopIfTrue="1" operator="equal">
      <formula>"C"</formula>
    </cfRule>
    <cfRule type="cellIs" dxfId="1046" priority="58" stopIfTrue="1" operator="equal">
      <formula>"C"</formula>
    </cfRule>
    <cfRule type="cellIs" dxfId="1045" priority="59" stopIfTrue="1" operator="equal">
      <formula>"B"</formula>
    </cfRule>
    <cfRule type="cellIs" dxfId="1044" priority="60" stopIfTrue="1" operator="equal">
      <formula>"A"</formula>
    </cfRule>
  </conditionalFormatting>
  <conditionalFormatting sqref="W9:X9">
    <cfRule type="cellIs" dxfId="1043" priority="53" stopIfTrue="1" operator="equal">
      <formula>"C"</formula>
    </cfRule>
    <cfRule type="cellIs" dxfId="1042" priority="54" stopIfTrue="1" operator="equal">
      <formula>"C"</formula>
    </cfRule>
    <cfRule type="cellIs" dxfId="1041" priority="55" stopIfTrue="1" operator="equal">
      <formula>"B"</formula>
    </cfRule>
    <cfRule type="cellIs" dxfId="1040" priority="56" stopIfTrue="1" operator="equal">
      <formula>"A"</formula>
    </cfRule>
  </conditionalFormatting>
  <conditionalFormatting sqref="W9:X9">
    <cfRule type="cellIs" dxfId="1039" priority="49" stopIfTrue="1" operator="equal">
      <formula>"C"</formula>
    </cfRule>
    <cfRule type="cellIs" dxfId="1038" priority="50" stopIfTrue="1" operator="equal">
      <formula>"C"</formula>
    </cfRule>
    <cfRule type="cellIs" dxfId="1037" priority="51" stopIfTrue="1" operator="equal">
      <formula>"B"</formula>
    </cfRule>
    <cfRule type="cellIs" dxfId="1036" priority="52" stopIfTrue="1" operator="equal">
      <formula>"A"</formula>
    </cfRule>
  </conditionalFormatting>
  <conditionalFormatting sqref="W9:X9">
    <cfRule type="cellIs" dxfId="1035" priority="45" stopIfTrue="1" operator="equal">
      <formula>"C"</formula>
    </cfRule>
    <cfRule type="cellIs" dxfId="1034" priority="46" stopIfTrue="1" operator="equal">
      <formula>"C"</formula>
    </cfRule>
    <cfRule type="cellIs" dxfId="1033" priority="47" stopIfTrue="1" operator="equal">
      <formula>"B"</formula>
    </cfRule>
    <cfRule type="cellIs" dxfId="1032" priority="48" stopIfTrue="1" operator="equal">
      <formula>"A"</formula>
    </cfRule>
  </conditionalFormatting>
  <conditionalFormatting sqref="W9:X9">
    <cfRule type="cellIs" dxfId="1031" priority="41" stopIfTrue="1" operator="equal">
      <formula>"C"</formula>
    </cfRule>
    <cfRule type="cellIs" dxfId="1030" priority="42" stopIfTrue="1" operator="equal">
      <formula>"C"</formula>
    </cfRule>
    <cfRule type="cellIs" dxfId="1029" priority="43" stopIfTrue="1" operator="equal">
      <formula>"B"</formula>
    </cfRule>
    <cfRule type="cellIs" dxfId="1028" priority="44" stopIfTrue="1" operator="equal">
      <formula>"A"</formula>
    </cfRule>
  </conditionalFormatting>
  <conditionalFormatting sqref="W9:X9">
    <cfRule type="cellIs" dxfId="1027" priority="37" stopIfTrue="1" operator="equal">
      <formula>"C"</formula>
    </cfRule>
    <cfRule type="cellIs" dxfId="1026" priority="38" stopIfTrue="1" operator="equal">
      <formula>"C"</formula>
    </cfRule>
    <cfRule type="cellIs" dxfId="1025" priority="39" stopIfTrue="1" operator="equal">
      <formula>"B"</formula>
    </cfRule>
    <cfRule type="cellIs" dxfId="1024" priority="40" stopIfTrue="1" operator="equal">
      <formula>"A"</formula>
    </cfRule>
  </conditionalFormatting>
  <conditionalFormatting sqref="W9:X9">
    <cfRule type="cellIs" dxfId="1023" priority="33" stopIfTrue="1" operator="equal">
      <formula>"C"</formula>
    </cfRule>
    <cfRule type="cellIs" dxfId="1022" priority="34" stopIfTrue="1" operator="equal">
      <formula>"C"</formula>
    </cfRule>
    <cfRule type="cellIs" dxfId="1021" priority="35" stopIfTrue="1" operator="equal">
      <formula>"B"</formula>
    </cfRule>
    <cfRule type="cellIs" dxfId="1020" priority="36" stopIfTrue="1" operator="equal">
      <formula>"A"</formula>
    </cfRule>
  </conditionalFormatting>
  <conditionalFormatting sqref="W9:X9">
    <cfRule type="cellIs" dxfId="1019" priority="29" stopIfTrue="1" operator="equal">
      <formula>"C"</formula>
    </cfRule>
    <cfRule type="cellIs" dxfId="1018" priority="30" stopIfTrue="1" operator="equal">
      <formula>"C"</formula>
    </cfRule>
    <cfRule type="cellIs" dxfId="1017" priority="31" stopIfTrue="1" operator="equal">
      <formula>"B"</formula>
    </cfRule>
    <cfRule type="cellIs" dxfId="1016" priority="32" stopIfTrue="1" operator="equal">
      <formula>"A"</formula>
    </cfRule>
  </conditionalFormatting>
  <conditionalFormatting sqref="W9:X9">
    <cfRule type="cellIs" dxfId="1015" priority="25" stopIfTrue="1" operator="equal">
      <formula>"C"</formula>
    </cfRule>
    <cfRule type="cellIs" dxfId="1014" priority="26" stopIfTrue="1" operator="equal">
      <formula>"C"</formula>
    </cfRule>
    <cfRule type="cellIs" dxfId="1013" priority="27" stopIfTrue="1" operator="equal">
      <formula>"B"</formula>
    </cfRule>
    <cfRule type="cellIs" dxfId="1012" priority="28" stopIfTrue="1" operator="equal">
      <formula>"A"</formula>
    </cfRule>
  </conditionalFormatting>
  <conditionalFormatting sqref="W8:X8">
    <cfRule type="cellIs" dxfId="623" priority="21" stopIfTrue="1" operator="equal">
      <formula>"C"</formula>
    </cfRule>
    <cfRule type="cellIs" dxfId="622" priority="22" stopIfTrue="1" operator="equal">
      <formula>"C"</formula>
    </cfRule>
    <cfRule type="cellIs" dxfId="621" priority="23" stopIfTrue="1" operator="equal">
      <formula>"B"</formula>
    </cfRule>
    <cfRule type="cellIs" dxfId="620" priority="24" stopIfTrue="1" operator="equal">
      <formula>"A"</formula>
    </cfRule>
  </conditionalFormatting>
  <conditionalFormatting sqref="W8:X8">
    <cfRule type="cellIs" dxfId="615" priority="17" stopIfTrue="1" operator="equal">
      <formula>"C"</formula>
    </cfRule>
    <cfRule type="cellIs" dxfId="614" priority="18" stopIfTrue="1" operator="equal">
      <formula>"C"</formula>
    </cfRule>
    <cfRule type="cellIs" dxfId="613" priority="19" stopIfTrue="1" operator="equal">
      <formula>"B"</formula>
    </cfRule>
    <cfRule type="cellIs" dxfId="612" priority="20" stopIfTrue="1" operator="equal">
      <formula>"A"</formula>
    </cfRule>
  </conditionalFormatting>
  <conditionalFormatting sqref="W9:X9">
    <cfRule type="cellIs" dxfId="607" priority="13" stopIfTrue="1" operator="equal">
      <formula>"C"</formula>
    </cfRule>
    <cfRule type="cellIs" dxfId="606" priority="14" stopIfTrue="1" operator="equal">
      <formula>"C"</formula>
    </cfRule>
    <cfRule type="cellIs" dxfId="605" priority="15" stopIfTrue="1" operator="equal">
      <formula>"B"</formula>
    </cfRule>
    <cfRule type="cellIs" dxfId="604" priority="16" stopIfTrue="1" operator="equal">
      <formula>"A"</formula>
    </cfRule>
  </conditionalFormatting>
  <conditionalFormatting sqref="W9:X9">
    <cfRule type="cellIs" dxfId="599" priority="9" stopIfTrue="1" operator="equal">
      <formula>"C"</formula>
    </cfRule>
    <cfRule type="cellIs" dxfId="598" priority="10" stopIfTrue="1" operator="equal">
      <formula>"C"</formula>
    </cfRule>
    <cfRule type="cellIs" dxfId="597" priority="11" stopIfTrue="1" operator="equal">
      <formula>"B"</formula>
    </cfRule>
    <cfRule type="cellIs" dxfId="596" priority="12" stopIfTrue="1" operator="equal">
      <formula>"A"</formula>
    </cfRule>
  </conditionalFormatting>
  <conditionalFormatting sqref="W10:X10">
    <cfRule type="cellIs" dxfId="591" priority="5" stopIfTrue="1" operator="equal">
      <formula>"C"</formula>
    </cfRule>
    <cfRule type="cellIs" dxfId="590" priority="6" stopIfTrue="1" operator="equal">
      <formula>"C"</formula>
    </cfRule>
    <cfRule type="cellIs" dxfId="589" priority="7" stopIfTrue="1" operator="equal">
      <formula>"B"</formula>
    </cfRule>
    <cfRule type="cellIs" dxfId="588" priority="8" stopIfTrue="1" operator="equal">
      <formula>"A"</formula>
    </cfRule>
  </conditionalFormatting>
  <conditionalFormatting sqref="W10:X10">
    <cfRule type="cellIs" dxfId="583" priority="1" stopIfTrue="1" operator="equal">
      <formula>"C"</formula>
    </cfRule>
    <cfRule type="cellIs" dxfId="582" priority="2" stopIfTrue="1" operator="equal">
      <formula>"C"</formula>
    </cfRule>
    <cfRule type="cellIs" dxfId="581" priority="3" stopIfTrue="1" operator="equal">
      <formula>"B"</formula>
    </cfRule>
    <cfRule type="cellIs" dxfId="580" priority="4" stopIfTrue="1" operator="equal">
      <formula>"A"</formula>
    </cfRule>
  </conditionalFormatting>
  <dataValidations count="2">
    <dataValidation type="list" allowBlank="1" showInputMessage="1" showErrorMessage="1" sqref="P8:P10 U8:V10">
      <formula1>"A, B, C"</formula1>
    </dataValidation>
    <dataValidation type="list" allowBlank="1" showInputMessage="1" showErrorMessage="1" sqref="H8:N10 Q8:S10">
      <formula1>"0, 1, 2, 3"</formula1>
    </dataValidation>
  </dataValidations>
  <printOptions horizontalCentered="1" verticalCentered="1"/>
  <pageMargins left="0.7" right="0.7" top="0.75" bottom="0.75" header="0.3" footer="0.3"/>
  <pageSetup paperSize="9" scale="42" orientation="landscape" horizontalDpi="4294967293" r:id="rId1"/>
  <headerFooter alignWithMargins="0"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23"/>
  <sheetViews>
    <sheetView view="pageBreakPreview" topLeftCell="M1" zoomScale="90" zoomScaleNormal="106" zoomScaleSheetLayoutView="90" workbookViewId="0">
      <selection activeCell="W8" sqref="W8:X8"/>
    </sheetView>
  </sheetViews>
  <sheetFormatPr baseColWidth="10" defaultColWidth="11.5703125" defaultRowHeight="12.75"/>
  <cols>
    <col min="1" max="1" width="12.28515625" style="9" customWidth="1"/>
    <col min="2" max="2" width="30.8554687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23.5703125" customWidth="1"/>
    <col min="8" max="8" width="11.28515625" style="43" customWidth="1"/>
    <col min="9" max="12" width="9" style="43" customWidth="1"/>
    <col min="13" max="13" width="9.42578125" style="43" customWidth="1"/>
    <col min="14" max="14" width="10.140625" style="43" customWidth="1"/>
    <col min="15" max="16" width="9" style="43" customWidth="1"/>
    <col min="17" max="17" width="10.28515625" style="43" customWidth="1"/>
    <col min="18" max="19" width="9" style="43" customWidth="1"/>
    <col min="20" max="20" width="7.85546875" style="10" customWidth="1"/>
    <col min="21" max="21" width="8" style="10" customWidth="1"/>
    <col min="22" max="22" width="9.85546875" customWidth="1"/>
    <col min="23" max="24" width="11.42578125" customWidth="1"/>
    <col min="25" max="25" width="16" style="10" customWidth="1"/>
    <col min="26" max="29" width="11.5703125" style="10"/>
    <col min="30" max="44" width="11.5703125" style="11"/>
    <col min="45" max="16384" width="11.5703125" style="12"/>
  </cols>
  <sheetData>
    <row r="1" spans="1:44" customFormat="1" ht="24.75" customHeight="1">
      <c r="A1" s="187"/>
      <c r="B1" s="185" t="s">
        <v>22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57" t="s">
        <v>21</v>
      </c>
      <c r="V1" s="158"/>
      <c r="W1" s="158"/>
      <c r="X1" s="158"/>
      <c r="Y1" s="159"/>
    </row>
    <row r="2" spans="1:44" customFormat="1" ht="27" customHeight="1">
      <c r="A2" s="188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57">
        <v>3</v>
      </c>
      <c r="V2" s="158"/>
      <c r="W2" s="158"/>
      <c r="X2" s="158"/>
      <c r="Y2" s="159"/>
    </row>
    <row r="3" spans="1:44" customFormat="1" ht="15.75" customHeight="1">
      <c r="A3" s="31"/>
      <c r="B3" s="31"/>
      <c r="C3" s="42"/>
      <c r="D3" s="42"/>
      <c r="E3" s="42"/>
      <c r="F3" s="42"/>
      <c r="G3" s="42"/>
      <c r="H3" s="56"/>
      <c r="I3" s="57"/>
      <c r="J3" s="57"/>
      <c r="K3" s="57"/>
      <c r="L3" s="57"/>
      <c r="M3" s="57"/>
      <c r="N3" s="57"/>
      <c r="O3" s="57"/>
      <c r="P3" s="57"/>
      <c r="Q3" s="57"/>
      <c r="R3" s="58"/>
      <c r="S3" s="59"/>
      <c r="T3" s="15"/>
      <c r="U3" s="15"/>
      <c r="V3" s="42"/>
      <c r="W3" s="50"/>
      <c r="X3" s="50"/>
      <c r="Y3" s="14"/>
      <c r="AB3" s="2"/>
    </row>
    <row r="4" spans="1:44" customFormat="1" ht="25.5" customHeight="1">
      <c r="A4" s="63" t="s">
        <v>15</v>
      </c>
      <c r="B4" s="130">
        <v>45917</v>
      </c>
      <c r="C4" s="64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57"/>
      <c r="R4" s="58"/>
      <c r="S4" s="59"/>
      <c r="T4" s="15"/>
      <c r="U4" s="15"/>
      <c r="V4" s="17"/>
      <c r="W4" s="46"/>
      <c r="X4" s="46"/>
      <c r="Y4" s="14"/>
      <c r="AB4" s="2"/>
    </row>
    <row r="5" spans="1:44" s="4" customFormat="1">
      <c r="A5" s="35"/>
      <c r="B5" s="35"/>
      <c r="C5"/>
      <c r="D5"/>
      <c r="E5"/>
      <c r="F5"/>
      <c r="G5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1"/>
      <c r="U5" s="1"/>
      <c r="V5"/>
      <c r="W5"/>
      <c r="X5"/>
      <c r="Y5" s="2"/>
      <c r="Z5" s="2"/>
      <c r="AA5" s="2"/>
      <c r="AB5" s="2"/>
      <c r="AC5" s="2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s="6" customFormat="1" ht="36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165"/>
      <c r="Q6" s="161" t="s">
        <v>1</v>
      </c>
      <c r="R6" s="162"/>
      <c r="S6" s="163"/>
      <c r="T6" s="164" t="s">
        <v>7</v>
      </c>
      <c r="U6" s="165"/>
      <c r="V6" s="168" t="s">
        <v>85</v>
      </c>
      <c r="W6" s="161" t="s">
        <v>82</v>
      </c>
      <c r="X6" s="162"/>
      <c r="Y6" s="168" t="s">
        <v>18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s="8" customFormat="1" ht="57.75" customHeight="1">
      <c r="A7" s="168"/>
      <c r="B7" s="168"/>
      <c r="C7" s="168"/>
      <c r="D7" s="168"/>
      <c r="E7" s="168"/>
      <c r="F7" s="168"/>
      <c r="G7" s="168"/>
      <c r="H7" s="53" t="s">
        <v>23</v>
      </c>
      <c r="I7" s="53" t="s">
        <v>26</v>
      </c>
      <c r="J7" s="53" t="s">
        <v>27</v>
      </c>
      <c r="K7" s="53" t="s">
        <v>28</v>
      </c>
      <c r="L7" s="53" t="s">
        <v>29</v>
      </c>
      <c r="M7" s="53" t="s">
        <v>30</v>
      </c>
      <c r="N7" s="53" t="s">
        <v>67</v>
      </c>
      <c r="O7" s="166"/>
      <c r="P7" s="167"/>
      <c r="Q7" s="53" t="s">
        <v>39</v>
      </c>
      <c r="R7" s="53" t="s">
        <v>31</v>
      </c>
      <c r="S7" s="53" t="s">
        <v>66</v>
      </c>
      <c r="T7" s="166"/>
      <c r="U7" s="167"/>
      <c r="V7" s="168"/>
      <c r="W7" s="53" t="s">
        <v>83</v>
      </c>
      <c r="X7" s="53" t="s">
        <v>84</v>
      </c>
      <c r="Y7" s="168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s="8" customFormat="1" ht="27.75" customHeight="1">
      <c r="A8" s="37" t="s">
        <v>157</v>
      </c>
      <c r="B8" s="90" t="s">
        <v>158</v>
      </c>
      <c r="C8" s="45" t="s">
        <v>159</v>
      </c>
      <c r="D8" s="45" t="s">
        <v>160</v>
      </c>
      <c r="E8" s="45" t="s">
        <v>161</v>
      </c>
      <c r="F8" s="85">
        <v>58584243</v>
      </c>
      <c r="G8" s="107" t="s">
        <v>162</v>
      </c>
      <c r="H8" s="51">
        <v>3</v>
      </c>
      <c r="I8" s="51">
        <v>3</v>
      </c>
      <c r="J8" s="51">
        <v>2</v>
      </c>
      <c r="K8" s="51">
        <v>3</v>
      </c>
      <c r="L8" s="51">
        <v>2</v>
      </c>
      <c r="M8" s="51">
        <v>2</v>
      </c>
      <c r="N8" s="51">
        <v>3</v>
      </c>
      <c r="O8" s="103">
        <f>AVERAGE(H8:N8)</f>
        <v>2.5714285714285716</v>
      </c>
      <c r="P8" s="123" t="s">
        <v>8</v>
      </c>
      <c r="Q8" s="51">
        <v>3</v>
      </c>
      <c r="R8" s="51">
        <v>3</v>
      </c>
      <c r="S8" s="51">
        <v>3</v>
      </c>
      <c r="T8" s="103">
        <f>AVERAGE(Q8:S8)</f>
        <v>3</v>
      </c>
      <c r="U8" s="123" t="s">
        <v>8</v>
      </c>
      <c r="V8" s="105" t="s">
        <v>8</v>
      </c>
      <c r="W8" s="150" t="s">
        <v>347</v>
      </c>
      <c r="X8" s="108">
        <v>45917</v>
      </c>
      <c r="Y8" s="105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s="8" customFormat="1" ht="27.75" customHeight="1">
      <c r="A9" s="37" t="s">
        <v>372</v>
      </c>
      <c r="B9" s="84" t="s">
        <v>358</v>
      </c>
      <c r="C9" s="45" t="s">
        <v>387</v>
      </c>
      <c r="D9" s="45" t="s">
        <v>388</v>
      </c>
      <c r="E9" s="45"/>
      <c r="F9" s="86" t="s">
        <v>389</v>
      </c>
      <c r="G9" s="107"/>
      <c r="H9" s="51">
        <v>2</v>
      </c>
      <c r="I9" s="51">
        <v>3</v>
      </c>
      <c r="J9" s="51">
        <v>3</v>
      </c>
      <c r="K9" s="51">
        <v>3</v>
      </c>
      <c r="L9" s="51">
        <v>2</v>
      </c>
      <c r="M9" s="51">
        <v>2</v>
      </c>
      <c r="N9" s="51">
        <v>3</v>
      </c>
      <c r="O9" s="103">
        <f>AVERAGE(H9:N9)</f>
        <v>2.5714285714285716</v>
      </c>
      <c r="P9" s="123" t="s">
        <v>8</v>
      </c>
      <c r="Q9" s="51">
        <v>3</v>
      </c>
      <c r="R9" s="51">
        <v>3</v>
      </c>
      <c r="S9" s="51">
        <v>3</v>
      </c>
      <c r="T9" s="103">
        <f>AVERAGE(Q9:S9)</f>
        <v>3</v>
      </c>
      <c r="U9" s="123" t="s">
        <v>8</v>
      </c>
      <c r="V9" s="105" t="s">
        <v>8</v>
      </c>
      <c r="W9" s="150" t="s">
        <v>347</v>
      </c>
      <c r="X9" s="108">
        <v>45917</v>
      </c>
      <c r="Y9" s="105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ht="12.95" customHeight="1">
      <c r="A10" s="38"/>
      <c r="B10" s="38"/>
      <c r="I10" s="5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4"/>
      <c r="W10" s="54"/>
      <c r="X10" s="54"/>
    </row>
    <row r="11" spans="1:44" ht="25.5" customHeight="1">
      <c r="A11" s="156" t="s">
        <v>86</v>
      </c>
      <c r="B11" s="178"/>
      <c r="C11" s="178"/>
      <c r="D11" s="178"/>
      <c r="E11" s="178"/>
      <c r="F11" s="178"/>
      <c r="G11" s="179"/>
      <c r="I11" s="5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54"/>
      <c r="W11" s="54"/>
      <c r="X11" s="54"/>
    </row>
    <row r="12" spans="1:44" ht="25.5" customHeight="1">
      <c r="A12" s="155" t="s">
        <v>9</v>
      </c>
      <c r="B12" s="155"/>
      <c r="C12" s="156"/>
      <c r="D12" s="155" t="s">
        <v>12</v>
      </c>
      <c r="E12" s="155"/>
      <c r="F12" s="155"/>
      <c r="G12" s="155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4"/>
      <c r="W12" s="54"/>
      <c r="X12" s="54"/>
    </row>
    <row r="13" spans="1:44" ht="25.5" customHeight="1">
      <c r="A13" s="183" t="s">
        <v>2</v>
      </c>
      <c r="B13" s="183"/>
      <c r="C13" s="65" t="s">
        <v>37</v>
      </c>
      <c r="D13" s="28" t="s">
        <v>8</v>
      </c>
      <c r="E13" s="181" t="s">
        <v>40</v>
      </c>
      <c r="F13" s="181"/>
      <c r="G13" s="18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54"/>
      <c r="W13" s="54"/>
      <c r="X13" s="54"/>
    </row>
    <row r="14" spans="1:44" ht="25.5" customHeight="1">
      <c r="A14" s="183" t="s">
        <v>3</v>
      </c>
      <c r="B14" s="183"/>
      <c r="C14" s="66" t="s">
        <v>38</v>
      </c>
      <c r="D14" s="28" t="s">
        <v>10</v>
      </c>
      <c r="E14" s="181" t="s">
        <v>13</v>
      </c>
      <c r="F14" s="181"/>
      <c r="G14" s="181"/>
      <c r="H14" s="61"/>
      <c r="I14" s="62"/>
      <c r="V14" s="54"/>
      <c r="W14" s="54"/>
      <c r="X14" s="54"/>
    </row>
    <row r="15" spans="1:44" ht="25.5" customHeight="1">
      <c r="A15" s="183" t="s">
        <v>4</v>
      </c>
      <c r="B15" s="183"/>
      <c r="C15" s="67" t="s">
        <v>20</v>
      </c>
      <c r="D15" s="28" t="s">
        <v>11</v>
      </c>
      <c r="E15" s="182" t="s">
        <v>14</v>
      </c>
      <c r="F15" s="182"/>
      <c r="G15" s="182"/>
      <c r="V15" s="54"/>
      <c r="W15" s="54"/>
      <c r="X15" s="54"/>
    </row>
    <row r="16" spans="1:44" ht="25.5" customHeight="1">
      <c r="A16" s="183" t="s">
        <v>5</v>
      </c>
      <c r="B16" s="183"/>
      <c r="C16" s="32" t="s">
        <v>19</v>
      </c>
      <c r="D16" s="39"/>
      <c r="E16" s="39"/>
      <c r="F16" s="39"/>
      <c r="G16" s="39"/>
      <c r="V16" s="54"/>
      <c r="W16" s="54"/>
      <c r="X16" s="54"/>
    </row>
    <row r="17" spans="1:24" ht="12.75" customHeight="1">
      <c r="A17" s="3"/>
      <c r="B17" s="3"/>
      <c r="C17" s="54"/>
      <c r="D17" s="54"/>
      <c r="E17" s="54"/>
      <c r="F17" s="54"/>
      <c r="G17" s="54"/>
      <c r="V17" s="54"/>
      <c r="W17" s="54"/>
      <c r="X17" s="54"/>
    </row>
    <row r="18" spans="1:24" ht="25.5" customHeight="1">
      <c r="A18" s="186" t="s">
        <v>6</v>
      </c>
      <c r="B18" s="186"/>
      <c r="C18" s="41"/>
      <c r="D18" s="41"/>
      <c r="E18" s="41"/>
      <c r="F18" s="41"/>
      <c r="G18" s="41"/>
      <c r="V18" s="54"/>
      <c r="W18" s="54"/>
      <c r="X18" s="54"/>
    </row>
    <row r="19" spans="1:24">
      <c r="A19" s="3"/>
      <c r="B19" s="3"/>
      <c r="C19" s="54"/>
      <c r="D19" s="54"/>
      <c r="E19" s="54"/>
      <c r="F19" s="54"/>
      <c r="G19" s="54"/>
      <c r="V19" s="54"/>
      <c r="W19" s="54"/>
      <c r="X19" s="54"/>
    </row>
    <row r="20" spans="1:24">
      <c r="V20" s="54"/>
      <c r="W20" s="54"/>
      <c r="X20" s="54"/>
    </row>
    <row r="21" spans="1:24">
      <c r="V21" s="54"/>
      <c r="W21" s="54"/>
      <c r="X21" s="54"/>
    </row>
    <row r="22" spans="1:24">
      <c r="V22" s="54"/>
      <c r="W22" s="54"/>
      <c r="X22" s="54"/>
    </row>
    <row r="23" spans="1:24">
      <c r="V23" s="54"/>
      <c r="W23" s="54"/>
      <c r="X23" s="54"/>
    </row>
  </sheetData>
  <mergeCells count="29">
    <mergeCell ref="A18:B18"/>
    <mergeCell ref="V6:V7"/>
    <mergeCell ref="W6:X6"/>
    <mergeCell ref="B1:T2"/>
    <mergeCell ref="A1:A2"/>
    <mergeCell ref="A14:B14"/>
    <mergeCell ref="E14:G14"/>
    <mergeCell ref="A15:B15"/>
    <mergeCell ref="E15:G15"/>
    <mergeCell ref="A16:B16"/>
    <mergeCell ref="A11:G11"/>
    <mergeCell ref="A12:C12"/>
    <mergeCell ref="D12:G12"/>
    <mergeCell ref="A13:B13"/>
    <mergeCell ref="E13:G13"/>
    <mergeCell ref="A6:A7"/>
    <mergeCell ref="B6:B7"/>
    <mergeCell ref="C6:C7"/>
    <mergeCell ref="D6:D7"/>
    <mergeCell ref="E6:E7"/>
    <mergeCell ref="F6:F7"/>
    <mergeCell ref="G6:G7"/>
    <mergeCell ref="H6:N6"/>
    <mergeCell ref="U1:Y1"/>
    <mergeCell ref="U2:Y2"/>
    <mergeCell ref="Y6:Y7"/>
    <mergeCell ref="O6:P7"/>
    <mergeCell ref="T6:U7"/>
    <mergeCell ref="Q6:S6"/>
  </mergeCells>
  <conditionalFormatting sqref="W8:X8 P8:P9 U8:V9">
    <cfRule type="cellIs" dxfId="1011" priority="225" stopIfTrue="1" operator="equal">
      <formula>"C"</formula>
    </cfRule>
    <cfRule type="cellIs" dxfId="1010" priority="226" stopIfTrue="1" operator="equal">
      <formula>"C"</formula>
    </cfRule>
    <cfRule type="cellIs" dxfId="1009" priority="227" stopIfTrue="1" operator="equal">
      <formula>"B"</formula>
    </cfRule>
    <cfRule type="cellIs" dxfId="1008" priority="228" stopIfTrue="1" operator="equal">
      <formula>"A"</formula>
    </cfRule>
  </conditionalFormatting>
  <conditionalFormatting sqref="W8:X8">
    <cfRule type="cellIs" dxfId="563" priority="109" stopIfTrue="1" operator="equal">
      <formula>"C"</formula>
    </cfRule>
    <cfRule type="cellIs" dxfId="562" priority="110" stopIfTrue="1" operator="equal">
      <formula>"C"</formula>
    </cfRule>
    <cfRule type="cellIs" dxfId="561" priority="111" stopIfTrue="1" operator="equal">
      <formula>"B"</formula>
    </cfRule>
    <cfRule type="cellIs" dxfId="560" priority="112" stopIfTrue="1" operator="equal">
      <formula>"A"</formula>
    </cfRule>
  </conditionalFormatting>
  <conditionalFormatting sqref="W8:X8">
    <cfRule type="cellIs" dxfId="555" priority="105" stopIfTrue="1" operator="equal">
      <formula>"C"</formula>
    </cfRule>
    <cfRule type="cellIs" dxfId="554" priority="106" stopIfTrue="1" operator="equal">
      <formula>"C"</formula>
    </cfRule>
    <cfRule type="cellIs" dxfId="553" priority="107" stopIfTrue="1" operator="equal">
      <formula>"B"</formula>
    </cfRule>
    <cfRule type="cellIs" dxfId="552" priority="108" stopIfTrue="1" operator="equal">
      <formula>"A"</formula>
    </cfRule>
  </conditionalFormatting>
  <conditionalFormatting sqref="W8:X8">
    <cfRule type="cellIs" dxfId="547" priority="101" stopIfTrue="1" operator="equal">
      <formula>"C"</formula>
    </cfRule>
    <cfRule type="cellIs" dxfId="546" priority="102" stopIfTrue="1" operator="equal">
      <formula>"C"</formula>
    </cfRule>
    <cfRule type="cellIs" dxfId="545" priority="103" stopIfTrue="1" operator="equal">
      <formula>"B"</formula>
    </cfRule>
    <cfRule type="cellIs" dxfId="544" priority="104" stopIfTrue="1" operator="equal">
      <formula>"A"</formula>
    </cfRule>
  </conditionalFormatting>
  <conditionalFormatting sqref="W8:X8">
    <cfRule type="cellIs" dxfId="539" priority="97" stopIfTrue="1" operator="equal">
      <formula>"C"</formula>
    </cfRule>
    <cfRule type="cellIs" dxfId="538" priority="98" stopIfTrue="1" operator="equal">
      <formula>"C"</formula>
    </cfRule>
    <cfRule type="cellIs" dxfId="537" priority="99" stopIfTrue="1" operator="equal">
      <formula>"B"</formula>
    </cfRule>
    <cfRule type="cellIs" dxfId="536" priority="100" stopIfTrue="1" operator="equal">
      <formula>"A"</formula>
    </cfRule>
  </conditionalFormatting>
  <conditionalFormatting sqref="W8:X8">
    <cfRule type="cellIs" dxfId="531" priority="93" stopIfTrue="1" operator="equal">
      <formula>"C"</formula>
    </cfRule>
    <cfRule type="cellIs" dxfId="530" priority="94" stopIfTrue="1" operator="equal">
      <formula>"C"</formula>
    </cfRule>
    <cfRule type="cellIs" dxfId="529" priority="95" stopIfTrue="1" operator="equal">
      <formula>"B"</formula>
    </cfRule>
    <cfRule type="cellIs" dxfId="528" priority="96" stopIfTrue="1" operator="equal">
      <formula>"A"</formula>
    </cfRule>
  </conditionalFormatting>
  <conditionalFormatting sqref="W8:X8">
    <cfRule type="cellIs" dxfId="523" priority="89" stopIfTrue="1" operator="equal">
      <formula>"C"</formula>
    </cfRule>
    <cfRule type="cellIs" dxfId="522" priority="90" stopIfTrue="1" operator="equal">
      <formula>"C"</formula>
    </cfRule>
    <cfRule type="cellIs" dxfId="521" priority="91" stopIfTrue="1" operator="equal">
      <formula>"B"</formula>
    </cfRule>
    <cfRule type="cellIs" dxfId="520" priority="92" stopIfTrue="1" operator="equal">
      <formula>"A"</formula>
    </cfRule>
  </conditionalFormatting>
  <conditionalFormatting sqref="W8:X8">
    <cfRule type="cellIs" dxfId="515" priority="85" stopIfTrue="1" operator="equal">
      <formula>"C"</formula>
    </cfRule>
    <cfRule type="cellIs" dxfId="514" priority="86" stopIfTrue="1" operator="equal">
      <formula>"C"</formula>
    </cfRule>
    <cfRule type="cellIs" dxfId="513" priority="87" stopIfTrue="1" operator="equal">
      <formula>"B"</formula>
    </cfRule>
    <cfRule type="cellIs" dxfId="512" priority="88" stopIfTrue="1" operator="equal">
      <formula>"A"</formula>
    </cfRule>
  </conditionalFormatting>
  <conditionalFormatting sqref="W8:X8">
    <cfRule type="cellIs" dxfId="507" priority="81" stopIfTrue="1" operator="equal">
      <formula>"C"</formula>
    </cfRule>
    <cfRule type="cellIs" dxfId="506" priority="82" stopIfTrue="1" operator="equal">
      <formula>"C"</formula>
    </cfRule>
    <cfRule type="cellIs" dxfId="505" priority="83" stopIfTrue="1" operator="equal">
      <formula>"B"</formula>
    </cfRule>
    <cfRule type="cellIs" dxfId="504" priority="84" stopIfTrue="1" operator="equal">
      <formula>"A"</formula>
    </cfRule>
  </conditionalFormatting>
  <conditionalFormatting sqref="W8:X8">
    <cfRule type="cellIs" dxfId="499" priority="77" stopIfTrue="1" operator="equal">
      <formula>"C"</formula>
    </cfRule>
    <cfRule type="cellIs" dxfId="498" priority="78" stopIfTrue="1" operator="equal">
      <formula>"C"</formula>
    </cfRule>
    <cfRule type="cellIs" dxfId="497" priority="79" stopIfTrue="1" operator="equal">
      <formula>"B"</formula>
    </cfRule>
    <cfRule type="cellIs" dxfId="496" priority="80" stopIfTrue="1" operator="equal">
      <formula>"A"</formula>
    </cfRule>
  </conditionalFormatting>
  <conditionalFormatting sqref="W8:X8">
    <cfRule type="cellIs" dxfId="491" priority="73" stopIfTrue="1" operator="equal">
      <formula>"C"</formula>
    </cfRule>
    <cfRule type="cellIs" dxfId="490" priority="74" stopIfTrue="1" operator="equal">
      <formula>"C"</formula>
    </cfRule>
    <cfRule type="cellIs" dxfId="489" priority="75" stopIfTrue="1" operator="equal">
      <formula>"B"</formula>
    </cfRule>
    <cfRule type="cellIs" dxfId="488" priority="76" stopIfTrue="1" operator="equal">
      <formula>"A"</formula>
    </cfRule>
  </conditionalFormatting>
  <conditionalFormatting sqref="W8:X8">
    <cfRule type="cellIs" dxfId="483" priority="69" stopIfTrue="1" operator="equal">
      <formula>"C"</formula>
    </cfRule>
    <cfRule type="cellIs" dxfId="482" priority="70" stopIfTrue="1" operator="equal">
      <formula>"C"</formula>
    </cfRule>
    <cfRule type="cellIs" dxfId="481" priority="71" stopIfTrue="1" operator="equal">
      <formula>"B"</formula>
    </cfRule>
    <cfRule type="cellIs" dxfId="480" priority="72" stopIfTrue="1" operator="equal">
      <formula>"A"</formula>
    </cfRule>
  </conditionalFormatting>
  <conditionalFormatting sqref="W8:X8">
    <cfRule type="cellIs" dxfId="475" priority="65" stopIfTrue="1" operator="equal">
      <formula>"C"</formula>
    </cfRule>
    <cfRule type="cellIs" dxfId="474" priority="66" stopIfTrue="1" operator="equal">
      <formula>"C"</formula>
    </cfRule>
    <cfRule type="cellIs" dxfId="473" priority="67" stopIfTrue="1" operator="equal">
      <formula>"B"</formula>
    </cfRule>
    <cfRule type="cellIs" dxfId="472" priority="68" stopIfTrue="1" operator="equal">
      <formula>"A"</formula>
    </cfRule>
  </conditionalFormatting>
  <conditionalFormatting sqref="W8:X8">
    <cfRule type="cellIs" dxfId="467" priority="61" stopIfTrue="1" operator="equal">
      <formula>"C"</formula>
    </cfRule>
    <cfRule type="cellIs" dxfId="466" priority="62" stopIfTrue="1" operator="equal">
      <formula>"C"</formula>
    </cfRule>
    <cfRule type="cellIs" dxfId="465" priority="63" stopIfTrue="1" operator="equal">
      <formula>"B"</formula>
    </cfRule>
    <cfRule type="cellIs" dxfId="464" priority="64" stopIfTrue="1" operator="equal">
      <formula>"A"</formula>
    </cfRule>
  </conditionalFormatting>
  <conditionalFormatting sqref="W8:X8">
    <cfRule type="cellIs" dxfId="459" priority="57" stopIfTrue="1" operator="equal">
      <formula>"C"</formula>
    </cfRule>
    <cfRule type="cellIs" dxfId="458" priority="58" stopIfTrue="1" operator="equal">
      <formula>"C"</formula>
    </cfRule>
    <cfRule type="cellIs" dxfId="457" priority="59" stopIfTrue="1" operator="equal">
      <formula>"B"</formula>
    </cfRule>
    <cfRule type="cellIs" dxfId="456" priority="60" stopIfTrue="1" operator="equal">
      <formula>"A"</formula>
    </cfRule>
  </conditionalFormatting>
  <conditionalFormatting sqref="W9:X9">
    <cfRule type="cellIs" dxfId="451" priority="53" stopIfTrue="1" operator="equal">
      <formula>"C"</formula>
    </cfRule>
    <cfRule type="cellIs" dxfId="450" priority="54" stopIfTrue="1" operator="equal">
      <formula>"C"</formula>
    </cfRule>
    <cfRule type="cellIs" dxfId="449" priority="55" stopIfTrue="1" operator="equal">
      <formula>"B"</formula>
    </cfRule>
    <cfRule type="cellIs" dxfId="448" priority="56" stopIfTrue="1" operator="equal">
      <formula>"A"</formula>
    </cfRule>
  </conditionalFormatting>
  <conditionalFormatting sqref="W9:X9">
    <cfRule type="cellIs" dxfId="443" priority="49" stopIfTrue="1" operator="equal">
      <formula>"C"</formula>
    </cfRule>
    <cfRule type="cellIs" dxfId="442" priority="50" stopIfTrue="1" operator="equal">
      <formula>"C"</formula>
    </cfRule>
    <cfRule type="cellIs" dxfId="441" priority="51" stopIfTrue="1" operator="equal">
      <formula>"B"</formula>
    </cfRule>
    <cfRule type="cellIs" dxfId="440" priority="52" stopIfTrue="1" operator="equal">
      <formula>"A"</formula>
    </cfRule>
  </conditionalFormatting>
  <conditionalFormatting sqref="W9:X9">
    <cfRule type="cellIs" dxfId="435" priority="45" stopIfTrue="1" operator="equal">
      <formula>"C"</formula>
    </cfRule>
    <cfRule type="cellIs" dxfId="434" priority="46" stopIfTrue="1" operator="equal">
      <formula>"C"</formula>
    </cfRule>
    <cfRule type="cellIs" dxfId="433" priority="47" stopIfTrue="1" operator="equal">
      <formula>"B"</formula>
    </cfRule>
    <cfRule type="cellIs" dxfId="432" priority="48" stopIfTrue="1" operator="equal">
      <formula>"A"</formula>
    </cfRule>
  </conditionalFormatting>
  <conditionalFormatting sqref="W9:X9">
    <cfRule type="cellIs" dxfId="427" priority="41" stopIfTrue="1" operator="equal">
      <formula>"C"</formula>
    </cfRule>
    <cfRule type="cellIs" dxfId="426" priority="42" stopIfTrue="1" operator="equal">
      <formula>"C"</formula>
    </cfRule>
    <cfRule type="cellIs" dxfId="425" priority="43" stopIfTrue="1" operator="equal">
      <formula>"B"</formula>
    </cfRule>
    <cfRule type="cellIs" dxfId="424" priority="44" stopIfTrue="1" operator="equal">
      <formula>"A"</formula>
    </cfRule>
  </conditionalFormatting>
  <conditionalFormatting sqref="W9:X9">
    <cfRule type="cellIs" dxfId="419" priority="37" stopIfTrue="1" operator="equal">
      <formula>"C"</formula>
    </cfRule>
    <cfRule type="cellIs" dxfId="418" priority="38" stopIfTrue="1" operator="equal">
      <formula>"C"</formula>
    </cfRule>
    <cfRule type="cellIs" dxfId="417" priority="39" stopIfTrue="1" operator="equal">
      <formula>"B"</formula>
    </cfRule>
    <cfRule type="cellIs" dxfId="416" priority="40" stopIfTrue="1" operator="equal">
      <formula>"A"</formula>
    </cfRule>
  </conditionalFormatting>
  <conditionalFormatting sqref="W9:X9">
    <cfRule type="cellIs" dxfId="411" priority="33" stopIfTrue="1" operator="equal">
      <formula>"C"</formula>
    </cfRule>
    <cfRule type="cellIs" dxfId="410" priority="34" stopIfTrue="1" operator="equal">
      <formula>"C"</formula>
    </cfRule>
    <cfRule type="cellIs" dxfId="409" priority="35" stopIfTrue="1" operator="equal">
      <formula>"B"</formula>
    </cfRule>
    <cfRule type="cellIs" dxfId="408" priority="36" stopIfTrue="1" operator="equal">
      <formula>"A"</formula>
    </cfRule>
  </conditionalFormatting>
  <conditionalFormatting sqref="W9:X9">
    <cfRule type="cellIs" dxfId="403" priority="29" stopIfTrue="1" operator="equal">
      <formula>"C"</formula>
    </cfRule>
    <cfRule type="cellIs" dxfId="402" priority="30" stopIfTrue="1" operator="equal">
      <formula>"C"</formula>
    </cfRule>
    <cfRule type="cellIs" dxfId="401" priority="31" stopIfTrue="1" operator="equal">
      <formula>"B"</formula>
    </cfRule>
    <cfRule type="cellIs" dxfId="400" priority="32" stopIfTrue="1" operator="equal">
      <formula>"A"</formula>
    </cfRule>
  </conditionalFormatting>
  <conditionalFormatting sqref="W9:X9">
    <cfRule type="cellIs" dxfId="395" priority="25" stopIfTrue="1" operator="equal">
      <formula>"C"</formula>
    </cfRule>
    <cfRule type="cellIs" dxfId="394" priority="26" stopIfTrue="1" operator="equal">
      <formula>"C"</formula>
    </cfRule>
    <cfRule type="cellIs" dxfId="393" priority="27" stopIfTrue="1" operator="equal">
      <formula>"B"</formula>
    </cfRule>
    <cfRule type="cellIs" dxfId="392" priority="28" stopIfTrue="1" operator="equal">
      <formula>"A"</formula>
    </cfRule>
  </conditionalFormatting>
  <conditionalFormatting sqref="W9:X9">
    <cfRule type="cellIs" dxfId="387" priority="21" stopIfTrue="1" operator="equal">
      <formula>"C"</formula>
    </cfRule>
    <cfRule type="cellIs" dxfId="386" priority="22" stopIfTrue="1" operator="equal">
      <formula>"C"</formula>
    </cfRule>
    <cfRule type="cellIs" dxfId="385" priority="23" stopIfTrue="1" operator="equal">
      <formula>"B"</formula>
    </cfRule>
    <cfRule type="cellIs" dxfId="384" priority="24" stopIfTrue="1" operator="equal">
      <formula>"A"</formula>
    </cfRule>
  </conditionalFormatting>
  <conditionalFormatting sqref="W9:X9">
    <cfRule type="cellIs" dxfId="379" priority="17" stopIfTrue="1" operator="equal">
      <formula>"C"</formula>
    </cfRule>
    <cfRule type="cellIs" dxfId="378" priority="18" stopIfTrue="1" operator="equal">
      <formula>"C"</formula>
    </cfRule>
    <cfRule type="cellIs" dxfId="377" priority="19" stopIfTrue="1" operator="equal">
      <formula>"B"</formula>
    </cfRule>
    <cfRule type="cellIs" dxfId="376" priority="20" stopIfTrue="1" operator="equal">
      <formula>"A"</formula>
    </cfRule>
  </conditionalFormatting>
  <conditionalFormatting sqref="W9:X9">
    <cfRule type="cellIs" dxfId="371" priority="13" stopIfTrue="1" operator="equal">
      <formula>"C"</formula>
    </cfRule>
    <cfRule type="cellIs" dxfId="370" priority="14" stopIfTrue="1" operator="equal">
      <formula>"C"</formula>
    </cfRule>
    <cfRule type="cellIs" dxfId="369" priority="15" stopIfTrue="1" operator="equal">
      <formula>"B"</formula>
    </cfRule>
    <cfRule type="cellIs" dxfId="368" priority="16" stopIfTrue="1" operator="equal">
      <formula>"A"</formula>
    </cfRule>
  </conditionalFormatting>
  <conditionalFormatting sqref="W9:X9">
    <cfRule type="cellIs" dxfId="363" priority="9" stopIfTrue="1" operator="equal">
      <formula>"C"</formula>
    </cfRule>
    <cfRule type="cellIs" dxfId="362" priority="10" stopIfTrue="1" operator="equal">
      <formula>"C"</formula>
    </cfRule>
    <cfRule type="cellIs" dxfId="361" priority="11" stopIfTrue="1" operator="equal">
      <formula>"B"</formula>
    </cfRule>
    <cfRule type="cellIs" dxfId="360" priority="12" stopIfTrue="1" operator="equal">
      <formula>"A"</formula>
    </cfRule>
  </conditionalFormatting>
  <conditionalFormatting sqref="W9:X9">
    <cfRule type="cellIs" dxfId="355" priority="5" stopIfTrue="1" operator="equal">
      <formula>"C"</formula>
    </cfRule>
    <cfRule type="cellIs" dxfId="354" priority="6" stopIfTrue="1" operator="equal">
      <formula>"C"</formula>
    </cfRule>
    <cfRule type="cellIs" dxfId="353" priority="7" stopIfTrue="1" operator="equal">
      <formula>"B"</formula>
    </cfRule>
    <cfRule type="cellIs" dxfId="352" priority="8" stopIfTrue="1" operator="equal">
      <formula>"A"</formula>
    </cfRule>
  </conditionalFormatting>
  <conditionalFormatting sqref="W9:X9">
    <cfRule type="cellIs" dxfId="347" priority="1" stopIfTrue="1" operator="equal">
      <formula>"C"</formula>
    </cfRule>
    <cfRule type="cellIs" dxfId="346" priority="2" stopIfTrue="1" operator="equal">
      <formula>"C"</formula>
    </cfRule>
    <cfRule type="cellIs" dxfId="345" priority="3" stopIfTrue="1" operator="equal">
      <formula>"B"</formula>
    </cfRule>
    <cfRule type="cellIs" dxfId="344" priority="4" stopIfTrue="1" operator="equal">
      <formula>"A"</formula>
    </cfRule>
  </conditionalFormatting>
  <dataValidations count="2">
    <dataValidation type="list" allowBlank="1" showInputMessage="1" showErrorMessage="1" sqref="P8:P9 U8:V9">
      <formula1>"A, B, C"</formula1>
    </dataValidation>
    <dataValidation type="list" allowBlank="1" showInputMessage="1" showErrorMessage="1" sqref="H8:N9 Q8:S9">
      <formula1>"0, 1, 2, 3"</formula1>
    </dataValidation>
  </dataValidations>
  <hyperlinks>
    <hyperlink ref="G8" r:id="rId1"/>
  </hyperlinks>
  <printOptions horizontalCentered="1" verticalCentered="1"/>
  <pageMargins left="0.7" right="0.7" top="0.75" bottom="0.75" header="0.3" footer="0.3"/>
  <pageSetup paperSize="9" scale="39" orientation="landscape" horizontalDpi="4294967293" r:id="rId2"/>
  <headerFooter alignWithMargins="0">
    <oddFooter>&amp;C&amp;P/&amp;N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25"/>
  <sheetViews>
    <sheetView tabSelected="1" view="pageBreakPreview" zoomScale="80" zoomScaleNormal="106" zoomScaleSheetLayoutView="80" workbookViewId="0">
      <selection activeCell="E17" sqref="E17:G17"/>
    </sheetView>
  </sheetViews>
  <sheetFormatPr baseColWidth="10" defaultColWidth="11.5703125" defaultRowHeight="12.75"/>
  <cols>
    <col min="1" max="1" width="12.28515625" style="9" customWidth="1"/>
    <col min="2" max="2" width="30.85546875" style="9" customWidth="1"/>
    <col min="3" max="3" width="19.85546875" customWidth="1"/>
    <col min="4" max="4" width="25.28515625" customWidth="1"/>
    <col min="5" max="5" width="23.42578125" customWidth="1"/>
    <col min="6" max="6" width="19.42578125" customWidth="1"/>
    <col min="7" max="7" width="32.5703125" customWidth="1"/>
    <col min="8" max="8" width="13.42578125" style="10" customWidth="1"/>
    <col min="9" max="9" width="8" style="10" customWidth="1"/>
    <col min="10" max="10" width="6.85546875" style="10" customWidth="1"/>
    <col min="11" max="11" width="9.85546875" style="10" customWidth="1"/>
    <col min="12" max="12" width="9.140625" style="10" customWidth="1"/>
    <col min="13" max="13" width="10.42578125" style="10" customWidth="1"/>
    <col min="14" max="14" width="11.42578125" style="10" customWidth="1"/>
    <col min="15" max="16" width="6" style="10" customWidth="1"/>
    <col min="17" max="17" width="9.85546875" style="10" customWidth="1"/>
    <col min="18" max="18" width="11.5703125" style="10"/>
    <col min="19" max="19" width="9.5703125" style="10" customWidth="1"/>
    <col min="20" max="21" width="6.28515625" style="10" customWidth="1"/>
    <col min="22" max="22" width="7.85546875" customWidth="1"/>
    <col min="23" max="24" width="11.42578125" customWidth="1"/>
    <col min="25" max="25" width="16" style="10" customWidth="1"/>
    <col min="26" max="29" width="11.5703125" style="10"/>
    <col min="30" max="44" width="11.5703125" style="11"/>
    <col min="45" max="16384" width="11.5703125" style="12"/>
  </cols>
  <sheetData>
    <row r="1" spans="1:44" customFormat="1" ht="24.75" customHeight="1">
      <c r="A1" s="187"/>
      <c r="B1" s="185" t="s">
        <v>22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57" t="s">
        <v>21</v>
      </c>
      <c r="V1" s="158"/>
      <c r="W1" s="158"/>
      <c r="X1" s="158"/>
      <c r="Y1" s="159"/>
    </row>
    <row r="2" spans="1:44" customFormat="1" ht="27" customHeight="1">
      <c r="A2" s="188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57">
        <v>3</v>
      </c>
      <c r="V2" s="158"/>
      <c r="W2" s="158"/>
      <c r="X2" s="158"/>
      <c r="Y2" s="159"/>
    </row>
    <row r="3" spans="1:44" customFormat="1" ht="15.75" customHeight="1">
      <c r="A3" s="31"/>
      <c r="B3" s="31"/>
      <c r="C3" s="42"/>
      <c r="D3" s="42"/>
      <c r="E3" s="42"/>
      <c r="F3" s="42"/>
      <c r="G3" s="42"/>
      <c r="H3" s="13"/>
      <c r="I3" s="17"/>
      <c r="J3" s="17"/>
      <c r="K3" s="17"/>
      <c r="L3" s="17"/>
      <c r="M3" s="17"/>
      <c r="N3" s="17"/>
      <c r="O3" s="17"/>
      <c r="P3" s="17"/>
      <c r="Q3" s="17"/>
      <c r="R3" s="14"/>
      <c r="S3" s="15"/>
      <c r="T3" s="15"/>
      <c r="U3" s="15"/>
      <c r="V3" s="42"/>
      <c r="W3" s="50"/>
      <c r="X3" s="50"/>
      <c r="Y3" s="14"/>
      <c r="AB3" s="2"/>
    </row>
    <row r="4" spans="1:44" customFormat="1" ht="32.25" customHeight="1">
      <c r="A4" s="63" t="s">
        <v>15</v>
      </c>
      <c r="B4" s="29" t="s">
        <v>44</v>
      </c>
      <c r="C4" s="64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5"/>
      <c r="V4" s="17"/>
      <c r="W4" s="46"/>
      <c r="X4" s="46"/>
      <c r="Y4" s="14"/>
      <c r="AB4" s="2"/>
    </row>
    <row r="5" spans="1:44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/>
      <c r="W5"/>
      <c r="X5"/>
      <c r="Y5" s="2"/>
      <c r="Z5" s="2"/>
      <c r="AA5" s="2"/>
      <c r="AB5" s="2"/>
      <c r="AC5" s="2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s="6" customFormat="1" ht="18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165"/>
      <c r="Q6" s="193" t="s">
        <v>1</v>
      </c>
      <c r="R6" s="193"/>
      <c r="S6" s="193"/>
      <c r="T6" s="164" t="s">
        <v>7</v>
      </c>
      <c r="U6" s="165"/>
      <c r="V6" s="168" t="s">
        <v>85</v>
      </c>
      <c r="W6" s="161" t="s">
        <v>82</v>
      </c>
      <c r="X6" s="162"/>
      <c r="Y6" s="168" t="s">
        <v>18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s="8" customFormat="1" ht="56.25" customHeight="1">
      <c r="A7" s="168"/>
      <c r="B7" s="168"/>
      <c r="C7" s="168"/>
      <c r="D7" s="168"/>
      <c r="E7" s="168"/>
      <c r="F7" s="168"/>
      <c r="G7" s="168"/>
      <c r="H7" s="96" t="s">
        <v>23</v>
      </c>
      <c r="I7" s="53" t="s">
        <v>26</v>
      </c>
      <c r="J7" s="53" t="s">
        <v>27</v>
      </c>
      <c r="K7" s="53" t="s">
        <v>28</v>
      </c>
      <c r="L7" s="53" t="s">
        <v>29</v>
      </c>
      <c r="M7" s="53" t="s">
        <v>30</v>
      </c>
      <c r="N7" s="53" t="s">
        <v>67</v>
      </c>
      <c r="O7" s="166"/>
      <c r="P7" s="167"/>
      <c r="Q7" s="53" t="s">
        <v>39</v>
      </c>
      <c r="R7" s="53" t="s">
        <v>31</v>
      </c>
      <c r="S7" s="53" t="s">
        <v>32</v>
      </c>
      <c r="T7" s="166"/>
      <c r="U7" s="167"/>
      <c r="V7" s="168"/>
      <c r="W7" s="53" t="s">
        <v>83</v>
      </c>
      <c r="X7" s="53" t="s">
        <v>84</v>
      </c>
      <c r="Y7" s="168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s="72" customFormat="1" ht="30.75" customHeight="1">
      <c r="A8" s="37" t="s">
        <v>367</v>
      </c>
      <c r="B8" s="84" t="s">
        <v>164</v>
      </c>
      <c r="C8" s="45" t="s">
        <v>165</v>
      </c>
      <c r="D8" s="45" t="s">
        <v>163</v>
      </c>
      <c r="E8" s="45" t="s">
        <v>166</v>
      </c>
      <c r="F8" s="86" t="s">
        <v>167</v>
      </c>
      <c r="G8" s="107" t="s">
        <v>168</v>
      </c>
      <c r="H8" s="101">
        <v>1</v>
      </c>
      <c r="I8" s="101">
        <v>2</v>
      </c>
      <c r="J8" s="101">
        <v>1</v>
      </c>
      <c r="K8" s="101">
        <v>2</v>
      </c>
      <c r="L8" s="101">
        <v>2</v>
      </c>
      <c r="M8" s="101">
        <v>2</v>
      </c>
      <c r="N8" s="101">
        <v>2</v>
      </c>
      <c r="O8" s="105">
        <f t="shared" ref="O8:O11" si="0">AVERAGE(H8:N8)</f>
        <v>1.7142857142857142</v>
      </c>
      <c r="P8" s="105" t="s">
        <v>10</v>
      </c>
      <c r="Q8" s="101">
        <v>2</v>
      </c>
      <c r="R8" s="101">
        <v>2</v>
      </c>
      <c r="S8" s="101">
        <v>2</v>
      </c>
      <c r="T8" s="103">
        <f>AVERAGE(O8:S8)</f>
        <v>1.9285714285714286</v>
      </c>
      <c r="U8" s="105" t="s">
        <v>8</v>
      </c>
      <c r="V8" s="105" t="s">
        <v>10</v>
      </c>
      <c r="W8" s="150" t="s">
        <v>347</v>
      </c>
      <c r="X8" s="108">
        <v>45917</v>
      </c>
      <c r="Y8" s="105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</row>
    <row r="9" spans="1:44" s="72" customFormat="1" ht="30.75" customHeight="1">
      <c r="A9" s="37" t="s">
        <v>373</v>
      </c>
      <c r="B9" s="84" t="s">
        <v>355</v>
      </c>
      <c r="C9" s="45"/>
      <c r="D9" s="45"/>
      <c r="E9" s="45"/>
      <c r="F9" s="86"/>
      <c r="G9" s="107"/>
      <c r="H9" s="101">
        <v>2</v>
      </c>
      <c r="I9" s="101">
        <v>3</v>
      </c>
      <c r="J9" s="101">
        <v>3</v>
      </c>
      <c r="K9" s="101">
        <v>2</v>
      </c>
      <c r="L9" s="101">
        <v>3</v>
      </c>
      <c r="M9" s="101">
        <v>2</v>
      </c>
      <c r="N9" s="101">
        <v>3</v>
      </c>
      <c r="O9" s="105">
        <f t="shared" ref="O9:O10" si="1">AVERAGE(H9:N9)</f>
        <v>2.5714285714285716</v>
      </c>
      <c r="P9" s="105" t="s">
        <v>8</v>
      </c>
      <c r="Q9" s="101">
        <v>3</v>
      </c>
      <c r="R9" s="101">
        <v>3</v>
      </c>
      <c r="S9" s="101">
        <v>2</v>
      </c>
      <c r="T9" s="103">
        <f>AVERAGE(O9:S9)</f>
        <v>2.6428571428571428</v>
      </c>
      <c r="U9" s="105" t="s">
        <v>8</v>
      </c>
      <c r="V9" s="105" t="s">
        <v>8</v>
      </c>
      <c r="W9" s="150" t="s">
        <v>347</v>
      </c>
      <c r="X9" s="108">
        <v>45917</v>
      </c>
      <c r="Y9" s="105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</row>
    <row r="10" spans="1:44" s="72" customFormat="1" ht="30.75" customHeight="1">
      <c r="A10" s="37" t="s">
        <v>374</v>
      </c>
      <c r="B10" s="90" t="s">
        <v>359</v>
      </c>
      <c r="C10" s="45"/>
      <c r="D10" s="45"/>
      <c r="E10" s="45"/>
      <c r="F10" s="86"/>
      <c r="G10" s="107"/>
      <c r="H10" s="101">
        <v>3</v>
      </c>
      <c r="I10" s="101">
        <v>2</v>
      </c>
      <c r="J10" s="101">
        <v>2</v>
      </c>
      <c r="K10" s="101">
        <v>2</v>
      </c>
      <c r="L10" s="101">
        <v>2</v>
      </c>
      <c r="M10" s="101">
        <v>2</v>
      </c>
      <c r="N10" s="101">
        <v>2</v>
      </c>
      <c r="O10" s="105">
        <f t="shared" si="1"/>
        <v>2.1428571428571428</v>
      </c>
      <c r="P10" s="105" t="s">
        <v>8</v>
      </c>
      <c r="Q10" s="101">
        <v>2</v>
      </c>
      <c r="R10" s="101">
        <v>2</v>
      </c>
      <c r="S10" s="101">
        <v>2</v>
      </c>
      <c r="T10" s="103">
        <f>AVERAGE(Q10:S10)</f>
        <v>2</v>
      </c>
      <c r="U10" s="105" t="s">
        <v>10</v>
      </c>
      <c r="V10" s="105" t="s">
        <v>10</v>
      </c>
      <c r="W10" s="150" t="s">
        <v>347</v>
      </c>
      <c r="X10" s="108">
        <v>45917</v>
      </c>
      <c r="Y10" s="105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</row>
    <row r="11" spans="1:44" s="72" customFormat="1" ht="30.75" customHeight="1">
      <c r="A11" s="37" t="s">
        <v>370</v>
      </c>
      <c r="B11" s="90" t="s">
        <v>169</v>
      </c>
      <c r="C11" s="45" t="s">
        <v>170</v>
      </c>
      <c r="D11" s="45" t="s">
        <v>171</v>
      </c>
      <c r="E11" s="45" t="s">
        <v>172</v>
      </c>
      <c r="F11" s="86">
        <v>31564565</v>
      </c>
      <c r="G11" s="107" t="s">
        <v>173</v>
      </c>
      <c r="H11" s="101">
        <v>3</v>
      </c>
      <c r="I11" s="101">
        <v>2</v>
      </c>
      <c r="J11" s="101">
        <v>2</v>
      </c>
      <c r="K11" s="101">
        <v>2</v>
      </c>
      <c r="L11" s="101">
        <v>2</v>
      </c>
      <c r="M11" s="101">
        <v>2</v>
      </c>
      <c r="N11" s="101">
        <v>2</v>
      </c>
      <c r="O11" s="105">
        <f t="shared" si="0"/>
        <v>2.1428571428571428</v>
      </c>
      <c r="P11" s="105" t="s">
        <v>8</v>
      </c>
      <c r="Q11" s="101">
        <v>2</v>
      </c>
      <c r="R11" s="101">
        <v>2</v>
      </c>
      <c r="S11" s="101">
        <v>2</v>
      </c>
      <c r="T11" s="103">
        <f>AVERAGE(Q11:S11)</f>
        <v>2</v>
      </c>
      <c r="U11" s="105" t="s">
        <v>10</v>
      </c>
      <c r="V11" s="105" t="s">
        <v>10</v>
      </c>
      <c r="W11" s="150" t="s">
        <v>347</v>
      </c>
      <c r="X11" s="108">
        <v>45917</v>
      </c>
      <c r="Y11" s="105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</row>
    <row r="12" spans="1:44" s="8" customFormat="1" ht="21.95" customHeight="1">
      <c r="A12" s="38"/>
      <c r="B12" s="38"/>
      <c r="C12"/>
      <c r="D12"/>
      <c r="E12"/>
      <c r="F12"/>
      <c r="G12"/>
      <c r="H12" s="1"/>
      <c r="I12" s="1"/>
      <c r="J12" s="1"/>
      <c r="K12" s="1"/>
      <c r="L12" s="1"/>
      <c r="M12" s="1"/>
      <c r="N12" s="1"/>
      <c r="O12" s="1"/>
      <c r="P12" s="1"/>
      <c r="Q12" s="13"/>
      <c r="R12" s="13"/>
      <c r="S12" s="13"/>
      <c r="T12" s="13"/>
      <c r="U12" s="13"/>
      <c r="V12" s="54"/>
      <c r="W12" s="54"/>
      <c r="X12" s="54"/>
      <c r="Y12" s="2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s="40" customFormat="1" ht="24.75" customHeight="1">
      <c r="A13" s="156" t="s">
        <v>86</v>
      </c>
      <c r="B13" s="178"/>
      <c r="C13" s="178"/>
      <c r="D13" s="178"/>
      <c r="E13" s="178"/>
      <c r="F13" s="178"/>
      <c r="G13" s="179"/>
      <c r="H13" s="1"/>
      <c r="I13" s="1"/>
      <c r="J13" s="1"/>
      <c r="K13" s="1"/>
      <c r="L13" s="1"/>
      <c r="M13" s="1"/>
      <c r="N13" s="1"/>
      <c r="O13" s="1"/>
      <c r="P13" s="1"/>
      <c r="Q13" s="13"/>
      <c r="R13" s="13"/>
      <c r="S13" s="13"/>
      <c r="T13" s="13"/>
      <c r="U13" s="13"/>
      <c r="V13" s="54"/>
      <c r="W13" s="54"/>
      <c r="X13" s="5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40" customFormat="1" ht="24.75" customHeight="1">
      <c r="A14" s="155" t="s">
        <v>9</v>
      </c>
      <c r="B14" s="155"/>
      <c r="C14" s="156"/>
      <c r="D14" s="155" t="s">
        <v>12</v>
      </c>
      <c r="E14" s="155"/>
      <c r="F14" s="155"/>
      <c r="G14" s="155"/>
      <c r="H14" s="1"/>
      <c r="I14" s="1"/>
      <c r="J14" s="1"/>
      <c r="K14" s="1"/>
      <c r="L14" s="1"/>
      <c r="M14" s="1"/>
      <c r="N14" s="1"/>
      <c r="O14" s="1"/>
      <c r="P14" s="1"/>
      <c r="Q14" s="13"/>
      <c r="R14" s="13"/>
      <c r="S14" s="13"/>
      <c r="T14" s="13"/>
      <c r="U14" s="13"/>
      <c r="V14" s="54"/>
      <c r="W14" s="54"/>
      <c r="X14" s="54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s="71" customFormat="1" ht="24.75" customHeight="1">
      <c r="A15" s="183" t="s">
        <v>2</v>
      </c>
      <c r="B15" s="183"/>
      <c r="C15" s="65" t="s">
        <v>37</v>
      </c>
      <c r="D15" s="28" t="s">
        <v>8</v>
      </c>
      <c r="E15" s="181" t="s">
        <v>40</v>
      </c>
      <c r="F15" s="181"/>
      <c r="G15" s="181"/>
      <c r="H15" s="1"/>
      <c r="I15" s="1"/>
      <c r="J15" s="1"/>
      <c r="K15" s="1"/>
      <c r="L15" s="1"/>
      <c r="M15" s="1"/>
      <c r="N15" s="1"/>
      <c r="O15" s="1"/>
      <c r="P15" s="1"/>
      <c r="Q15" s="13"/>
      <c r="R15" s="13"/>
      <c r="S15" s="13"/>
      <c r="T15" s="13"/>
      <c r="U15" s="13"/>
      <c r="V15" s="54"/>
      <c r="W15" s="54"/>
      <c r="X15" s="54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s="71" customFormat="1" ht="24.75" customHeight="1">
      <c r="A16" s="183" t="s">
        <v>3</v>
      </c>
      <c r="B16" s="183"/>
      <c r="C16" s="66" t="s">
        <v>38</v>
      </c>
      <c r="D16" s="28" t="s">
        <v>10</v>
      </c>
      <c r="E16" s="181" t="s">
        <v>13</v>
      </c>
      <c r="F16" s="181"/>
      <c r="G16" s="181"/>
      <c r="H16" s="1"/>
      <c r="I16" s="1"/>
      <c r="J16" s="1"/>
      <c r="K16" s="1"/>
      <c r="L16" s="1"/>
      <c r="M16" s="1"/>
      <c r="N16" s="1"/>
      <c r="O16" s="1"/>
      <c r="P16" s="1"/>
      <c r="Q16" s="13"/>
      <c r="R16" s="13"/>
      <c r="S16" s="13"/>
      <c r="T16" s="13"/>
      <c r="U16" s="13"/>
      <c r="V16" s="54"/>
      <c r="W16" s="54"/>
      <c r="X16" s="54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s="71" customFormat="1" ht="24.75" customHeight="1">
      <c r="A17" s="183" t="s">
        <v>4</v>
      </c>
      <c r="B17" s="183"/>
      <c r="C17" s="67" t="s">
        <v>20</v>
      </c>
      <c r="D17" s="28" t="s">
        <v>11</v>
      </c>
      <c r="E17" s="182" t="s">
        <v>14</v>
      </c>
      <c r="F17" s="182"/>
      <c r="G17" s="182"/>
      <c r="H17" s="19"/>
      <c r="I17" s="40"/>
      <c r="Q17" s="13"/>
      <c r="R17" s="13"/>
      <c r="S17" s="13"/>
      <c r="T17" s="13"/>
      <c r="U17" s="13"/>
      <c r="V17" s="54"/>
      <c r="W17" s="54"/>
      <c r="X17" s="54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s="69" customFormat="1" ht="24.75" customHeight="1">
      <c r="A18" s="183" t="s">
        <v>5</v>
      </c>
      <c r="B18" s="183"/>
      <c r="C18" s="32" t="s">
        <v>19</v>
      </c>
      <c r="D18" s="39"/>
      <c r="E18" s="39"/>
      <c r="F18" s="39"/>
      <c r="G18" s="39"/>
      <c r="H18" s="19"/>
      <c r="I18" s="1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3"/>
      <c r="U18" s="13"/>
      <c r="V18" s="54"/>
      <c r="W18" s="54"/>
      <c r="X18" s="54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1:44" s="69" customFormat="1" ht="10.5" customHeight="1">
      <c r="A19" s="2"/>
      <c r="B19" s="2"/>
      <c r="C19" s="68"/>
      <c r="D19" s="68"/>
      <c r="E19" s="68"/>
      <c r="F19" s="68"/>
      <c r="G19" s="68"/>
      <c r="H19" s="19"/>
      <c r="I19" s="25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25"/>
      <c r="U19" s="25"/>
      <c r="V19" s="54"/>
      <c r="W19" s="54"/>
      <c r="X19" s="54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s="69" customFormat="1" ht="24.75" customHeight="1">
      <c r="A20" s="180" t="s">
        <v>6</v>
      </c>
      <c r="B20" s="180"/>
      <c r="C20" s="40"/>
      <c r="D20" s="40"/>
      <c r="E20" s="40"/>
      <c r="F20" s="40"/>
      <c r="G20" s="40"/>
      <c r="H20" s="19"/>
      <c r="I20" s="25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72"/>
      <c r="U20" s="72"/>
      <c r="V20" s="54"/>
      <c r="W20" s="54"/>
      <c r="X20" s="54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s="69" customFormat="1" ht="24.75" customHeight="1">
      <c r="A21" s="2"/>
      <c r="B21" s="2"/>
      <c r="C21" s="68"/>
      <c r="D21" s="68"/>
      <c r="E21" s="68"/>
      <c r="F21" s="68"/>
      <c r="G21" s="68"/>
      <c r="H21" s="19"/>
      <c r="I21" s="2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54"/>
      <c r="W21" s="54"/>
      <c r="X21" s="54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>
      <c r="H22" s="25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4"/>
      <c r="W22" s="54"/>
      <c r="X22" s="54"/>
    </row>
    <row r="23" spans="1:44">
      <c r="H23" s="189"/>
      <c r="I23" s="189"/>
      <c r="V23" s="54"/>
      <c r="W23" s="54"/>
      <c r="X23" s="54"/>
    </row>
    <row r="24" spans="1:44">
      <c r="V24" s="54"/>
      <c r="W24" s="54"/>
      <c r="X24" s="54"/>
    </row>
    <row r="25" spans="1:44">
      <c r="V25" s="54"/>
      <c r="W25" s="54"/>
      <c r="X25" s="54"/>
    </row>
  </sheetData>
  <mergeCells count="33">
    <mergeCell ref="A18:B18"/>
    <mergeCell ref="A20:B20"/>
    <mergeCell ref="B1:T2"/>
    <mergeCell ref="V6:V7"/>
    <mergeCell ref="W6:X6"/>
    <mergeCell ref="A15:B15"/>
    <mergeCell ref="E15:G15"/>
    <mergeCell ref="A16:B16"/>
    <mergeCell ref="E16:G16"/>
    <mergeCell ref="A17:B17"/>
    <mergeCell ref="E17:G17"/>
    <mergeCell ref="E6:E7"/>
    <mergeCell ref="F6:F7"/>
    <mergeCell ref="G6:G7"/>
    <mergeCell ref="A13:G13"/>
    <mergeCell ref="A14:C14"/>
    <mergeCell ref="U1:Y1"/>
    <mergeCell ref="U2:Y2"/>
    <mergeCell ref="T6:U7"/>
    <mergeCell ref="D14:G14"/>
    <mergeCell ref="A1:A2"/>
    <mergeCell ref="A6:A7"/>
    <mergeCell ref="B6:B7"/>
    <mergeCell ref="C6:C7"/>
    <mergeCell ref="D6:D7"/>
    <mergeCell ref="H23:I23"/>
    <mergeCell ref="Y6:Y7"/>
    <mergeCell ref="J18:S18"/>
    <mergeCell ref="J20:S20"/>
    <mergeCell ref="J19:S19"/>
    <mergeCell ref="Q6:S6"/>
    <mergeCell ref="O6:P7"/>
    <mergeCell ref="H6:N6"/>
  </mergeCells>
  <conditionalFormatting sqref="P8:P11 U8:X11">
    <cfRule type="cellIs" dxfId="331" priority="245" stopIfTrue="1" operator="equal">
      <formula>"C"</formula>
    </cfRule>
    <cfRule type="cellIs" dxfId="330" priority="246" stopIfTrue="1" operator="equal">
      <formula>"C"</formula>
    </cfRule>
    <cfRule type="cellIs" dxfId="329" priority="247" stopIfTrue="1" operator="equal">
      <formula>"B"</formula>
    </cfRule>
    <cfRule type="cellIs" dxfId="328" priority="248" stopIfTrue="1" operator="equal">
      <formula>"A"</formula>
    </cfRule>
  </conditionalFormatting>
  <conditionalFormatting sqref="W8:X10">
    <cfRule type="cellIs" dxfId="327" priority="225" stopIfTrue="1" operator="equal">
      <formula>"C"</formula>
    </cfRule>
    <cfRule type="cellIs" dxfId="326" priority="226" stopIfTrue="1" operator="equal">
      <formula>"C"</formula>
    </cfRule>
    <cfRule type="cellIs" dxfId="325" priority="227" stopIfTrue="1" operator="equal">
      <formula>"B"</formula>
    </cfRule>
    <cfRule type="cellIs" dxfId="324" priority="228" stopIfTrue="1" operator="equal">
      <formula>"A"</formula>
    </cfRule>
  </conditionalFormatting>
  <conditionalFormatting sqref="W8:X10">
    <cfRule type="cellIs" dxfId="323" priority="221" stopIfTrue="1" operator="equal">
      <formula>"C"</formula>
    </cfRule>
    <cfRule type="cellIs" dxfId="322" priority="222" stopIfTrue="1" operator="equal">
      <formula>"C"</formula>
    </cfRule>
    <cfRule type="cellIs" dxfId="321" priority="223" stopIfTrue="1" operator="equal">
      <formula>"B"</formula>
    </cfRule>
    <cfRule type="cellIs" dxfId="320" priority="224" stopIfTrue="1" operator="equal">
      <formula>"A"</formula>
    </cfRule>
  </conditionalFormatting>
  <conditionalFormatting sqref="W8:X10">
    <cfRule type="cellIs" dxfId="319" priority="217" stopIfTrue="1" operator="equal">
      <formula>"C"</formula>
    </cfRule>
    <cfRule type="cellIs" dxfId="318" priority="218" stopIfTrue="1" operator="equal">
      <formula>"C"</formula>
    </cfRule>
    <cfRule type="cellIs" dxfId="317" priority="219" stopIfTrue="1" operator="equal">
      <formula>"B"</formula>
    </cfRule>
    <cfRule type="cellIs" dxfId="316" priority="220" stopIfTrue="1" operator="equal">
      <formula>"A"</formula>
    </cfRule>
  </conditionalFormatting>
  <conditionalFormatting sqref="W11:X11">
    <cfRule type="cellIs" dxfId="315" priority="213" stopIfTrue="1" operator="equal">
      <formula>"C"</formula>
    </cfRule>
    <cfRule type="cellIs" dxfId="314" priority="214" stopIfTrue="1" operator="equal">
      <formula>"C"</formula>
    </cfRule>
    <cfRule type="cellIs" dxfId="313" priority="215" stopIfTrue="1" operator="equal">
      <formula>"B"</formula>
    </cfRule>
    <cfRule type="cellIs" dxfId="312" priority="216" stopIfTrue="1" operator="equal">
      <formula>"A"</formula>
    </cfRule>
  </conditionalFormatting>
  <conditionalFormatting sqref="W11:X11">
    <cfRule type="cellIs" dxfId="311" priority="209" stopIfTrue="1" operator="equal">
      <formula>"C"</formula>
    </cfRule>
    <cfRule type="cellIs" dxfId="310" priority="210" stopIfTrue="1" operator="equal">
      <formula>"C"</formula>
    </cfRule>
    <cfRule type="cellIs" dxfId="309" priority="211" stopIfTrue="1" operator="equal">
      <formula>"B"</formula>
    </cfRule>
    <cfRule type="cellIs" dxfId="308" priority="212" stopIfTrue="1" operator="equal">
      <formula>"A"</formula>
    </cfRule>
  </conditionalFormatting>
  <conditionalFormatting sqref="W11:X11">
    <cfRule type="cellIs" dxfId="307" priority="205" stopIfTrue="1" operator="equal">
      <formula>"C"</formula>
    </cfRule>
    <cfRule type="cellIs" dxfId="306" priority="206" stopIfTrue="1" operator="equal">
      <formula>"C"</formula>
    </cfRule>
    <cfRule type="cellIs" dxfId="305" priority="207" stopIfTrue="1" operator="equal">
      <formula>"B"</formula>
    </cfRule>
    <cfRule type="cellIs" dxfId="304" priority="208" stopIfTrue="1" operator="equal">
      <formula>"A"</formula>
    </cfRule>
  </conditionalFormatting>
  <conditionalFormatting sqref="W8:X10">
    <cfRule type="cellIs" dxfId="303" priority="181" stopIfTrue="1" operator="equal">
      <formula>"C"</formula>
    </cfRule>
    <cfRule type="cellIs" dxfId="302" priority="182" stopIfTrue="1" operator="equal">
      <formula>"C"</formula>
    </cfRule>
    <cfRule type="cellIs" dxfId="301" priority="183" stopIfTrue="1" operator="equal">
      <formula>"B"</formula>
    </cfRule>
    <cfRule type="cellIs" dxfId="300" priority="184" stopIfTrue="1" operator="equal">
      <formula>"A"</formula>
    </cfRule>
  </conditionalFormatting>
  <conditionalFormatting sqref="W8:X10">
    <cfRule type="cellIs" dxfId="299" priority="177" stopIfTrue="1" operator="equal">
      <formula>"C"</formula>
    </cfRule>
    <cfRule type="cellIs" dxfId="298" priority="178" stopIfTrue="1" operator="equal">
      <formula>"C"</formula>
    </cfRule>
    <cfRule type="cellIs" dxfId="297" priority="179" stopIfTrue="1" operator="equal">
      <formula>"B"</formula>
    </cfRule>
    <cfRule type="cellIs" dxfId="296" priority="180" stopIfTrue="1" operator="equal">
      <formula>"A"</formula>
    </cfRule>
  </conditionalFormatting>
  <conditionalFormatting sqref="W11:X11">
    <cfRule type="cellIs" dxfId="295" priority="173" stopIfTrue="1" operator="equal">
      <formula>"C"</formula>
    </cfRule>
    <cfRule type="cellIs" dxfId="294" priority="174" stopIfTrue="1" operator="equal">
      <formula>"C"</formula>
    </cfRule>
    <cfRule type="cellIs" dxfId="293" priority="175" stopIfTrue="1" operator="equal">
      <formula>"B"</formula>
    </cfRule>
    <cfRule type="cellIs" dxfId="292" priority="176" stopIfTrue="1" operator="equal">
      <formula>"A"</formula>
    </cfRule>
  </conditionalFormatting>
  <conditionalFormatting sqref="W11:X11">
    <cfRule type="cellIs" dxfId="291" priority="169" stopIfTrue="1" operator="equal">
      <formula>"C"</formula>
    </cfRule>
    <cfRule type="cellIs" dxfId="290" priority="170" stopIfTrue="1" operator="equal">
      <formula>"C"</formula>
    </cfRule>
    <cfRule type="cellIs" dxfId="289" priority="171" stopIfTrue="1" operator="equal">
      <formula>"B"</formula>
    </cfRule>
    <cfRule type="cellIs" dxfId="288" priority="172" stopIfTrue="1" operator="equal">
      <formula>"A"</formula>
    </cfRule>
  </conditionalFormatting>
  <conditionalFormatting sqref="W8:X11">
    <cfRule type="cellIs" dxfId="287" priority="165" stopIfTrue="1" operator="equal">
      <formula>"C"</formula>
    </cfRule>
    <cfRule type="cellIs" dxfId="286" priority="166" stopIfTrue="1" operator="equal">
      <formula>"C"</formula>
    </cfRule>
    <cfRule type="cellIs" dxfId="285" priority="167" stopIfTrue="1" operator="equal">
      <formula>"B"</formula>
    </cfRule>
    <cfRule type="cellIs" dxfId="284" priority="168" stopIfTrue="1" operator="equal">
      <formula>"A"</formula>
    </cfRule>
  </conditionalFormatting>
  <conditionalFormatting sqref="W8:X11">
    <cfRule type="cellIs" dxfId="283" priority="161" stopIfTrue="1" operator="equal">
      <formula>"C"</formula>
    </cfRule>
    <cfRule type="cellIs" dxfId="282" priority="162" stopIfTrue="1" operator="equal">
      <formula>"C"</formula>
    </cfRule>
    <cfRule type="cellIs" dxfId="281" priority="163" stopIfTrue="1" operator="equal">
      <formula>"B"</formula>
    </cfRule>
    <cfRule type="cellIs" dxfId="280" priority="164" stopIfTrue="1" operator="equal">
      <formula>"A"</formula>
    </cfRule>
  </conditionalFormatting>
  <conditionalFormatting sqref="W8:X11">
    <cfRule type="cellIs" dxfId="279" priority="157" stopIfTrue="1" operator="equal">
      <formula>"C"</formula>
    </cfRule>
    <cfRule type="cellIs" dxfId="278" priority="158" stopIfTrue="1" operator="equal">
      <formula>"C"</formula>
    </cfRule>
    <cfRule type="cellIs" dxfId="277" priority="159" stopIfTrue="1" operator="equal">
      <formula>"B"</formula>
    </cfRule>
    <cfRule type="cellIs" dxfId="276" priority="160" stopIfTrue="1" operator="equal">
      <formula>"A"</formula>
    </cfRule>
  </conditionalFormatting>
  <conditionalFormatting sqref="W8:X11">
    <cfRule type="cellIs" dxfId="275" priority="153" stopIfTrue="1" operator="equal">
      <formula>"C"</formula>
    </cfRule>
    <cfRule type="cellIs" dxfId="274" priority="154" stopIfTrue="1" operator="equal">
      <formula>"C"</formula>
    </cfRule>
    <cfRule type="cellIs" dxfId="273" priority="155" stopIfTrue="1" operator="equal">
      <formula>"B"</formula>
    </cfRule>
    <cfRule type="cellIs" dxfId="272" priority="156" stopIfTrue="1" operator="equal">
      <formula>"A"</formula>
    </cfRule>
  </conditionalFormatting>
  <conditionalFormatting sqref="W8:X11">
    <cfRule type="cellIs" dxfId="271" priority="149" stopIfTrue="1" operator="equal">
      <formula>"C"</formula>
    </cfRule>
    <cfRule type="cellIs" dxfId="270" priority="150" stopIfTrue="1" operator="equal">
      <formula>"C"</formula>
    </cfRule>
    <cfRule type="cellIs" dxfId="269" priority="151" stopIfTrue="1" operator="equal">
      <formula>"B"</formula>
    </cfRule>
    <cfRule type="cellIs" dxfId="268" priority="152" stopIfTrue="1" operator="equal">
      <formula>"A"</formula>
    </cfRule>
  </conditionalFormatting>
  <conditionalFormatting sqref="W8:X11">
    <cfRule type="cellIs" dxfId="267" priority="145" stopIfTrue="1" operator="equal">
      <formula>"C"</formula>
    </cfRule>
    <cfRule type="cellIs" dxfId="266" priority="146" stopIfTrue="1" operator="equal">
      <formula>"C"</formula>
    </cfRule>
    <cfRule type="cellIs" dxfId="265" priority="147" stopIfTrue="1" operator="equal">
      <formula>"B"</formula>
    </cfRule>
    <cfRule type="cellIs" dxfId="264" priority="148" stopIfTrue="1" operator="equal">
      <formula>"A"</formula>
    </cfRule>
  </conditionalFormatting>
  <conditionalFormatting sqref="W8:X11">
    <cfRule type="cellIs" dxfId="263" priority="141" stopIfTrue="1" operator="equal">
      <formula>"C"</formula>
    </cfRule>
    <cfRule type="cellIs" dxfId="262" priority="142" stopIfTrue="1" operator="equal">
      <formula>"C"</formula>
    </cfRule>
    <cfRule type="cellIs" dxfId="261" priority="143" stopIfTrue="1" operator="equal">
      <formula>"B"</formula>
    </cfRule>
    <cfRule type="cellIs" dxfId="260" priority="144" stopIfTrue="1" operator="equal">
      <formula>"A"</formula>
    </cfRule>
  </conditionalFormatting>
  <conditionalFormatting sqref="W10:X10">
    <cfRule type="cellIs" dxfId="259" priority="137" stopIfTrue="1" operator="equal">
      <formula>"C"</formula>
    </cfRule>
    <cfRule type="cellIs" dxfId="258" priority="138" stopIfTrue="1" operator="equal">
      <formula>"C"</formula>
    </cfRule>
    <cfRule type="cellIs" dxfId="257" priority="139" stopIfTrue="1" operator="equal">
      <formula>"B"</formula>
    </cfRule>
    <cfRule type="cellIs" dxfId="256" priority="140" stopIfTrue="1" operator="equal">
      <formula>"A"</formula>
    </cfRule>
  </conditionalFormatting>
  <conditionalFormatting sqref="W10:X10">
    <cfRule type="cellIs" dxfId="255" priority="133" stopIfTrue="1" operator="equal">
      <formula>"C"</formula>
    </cfRule>
    <cfRule type="cellIs" dxfId="254" priority="134" stopIfTrue="1" operator="equal">
      <formula>"C"</formula>
    </cfRule>
    <cfRule type="cellIs" dxfId="253" priority="135" stopIfTrue="1" operator="equal">
      <formula>"B"</formula>
    </cfRule>
    <cfRule type="cellIs" dxfId="252" priority="136" stopIfTrue="1" operator="equal">
      <formula>"A"</formula>
    </cfRule>
  </conditionalFormatting>
  <conditionalFormatting sqref="W10:X10">
    <cfRule type="cellIs" dxfId="251" priority="129" stopIfTrue="1" operator="equal">
      <formula>"C"</formula>
    </cfRule>
    <cfRule type="cellIs" dxfId="250" priority="130" stopIfTrue="1" operator="equal">
      <formula>"C"</formula>
    </cfRule>
    <cfRule type="cellIs" dxfId="249" priority="131" stopIfTrue="1" operator="equal">
      <formula>"B"</formula>
    </cfRule>
    <cfRule type="cellIs" dxfId="248" priority="132" stopIfTrue="1" operator="equal">
      <formula>"A"</formula>
    </cfRule>
  </conditionalFormatting>
  <conditionalFormatting sqref="W10:X10">
    <cfRule type="cellIs" dxfId="247" priority="125" stopIfTrue="1" operator="equal">
      <formula>"C"</formula>
    </cfRule>
    <cfRule type="cellIs" dxfId="246" priority="126" stopIfTrue="1" operator="equal">
      <formula>"C"</formula>
    </cfRule>
    <cfRule type="cellIs" dxfId="245" priority="127" stopIfTrue="1" operator="equal">
      <formula>"B"</formula>
    </cfRule>
    <cfRule type="cellIs" dxfId="244" priority="128" stopIfTrue="1" operator="equal">
      <formula>"A"</formula>
    </cfRule>
  </conditionalFormatting>
  <conditionalFormatting sqref="W10:X10">
    <cfRule type="cellIs" dxfId="243" priority="121" stopIfTrue="1" operator="equal">
      <formula>"C"</formula>
    </cfRule>
    <cfRule type="cellIs" dxfId="242" priority="122" stopIfTrue="1" operator="equal">
      <formula>"C"</formula>
    </cfRule>
    <cfRule type="cellIs" dxfId="241" priority="123" stopIfTrue="1" operator="equal">
      <formula>"B"</formula>
    </cfRule>
    <cfRule type="cellIs" dxfId="240" priority="124" stopIfTrue="1" operator="equal">
      <formula>"A"</formula>
    </cfRule>
  </conditionalFormatting>
  <conditionalFormatting sqref="W8:X8">
    <cfRule type="cellIs" dxfId="239" priority="117" stopIfTrue="1" operator="equal">
      <formula>"C"</formula>
    </cfRule>
    <cfRule type="cellIs" dxfId="238" priority="118" stopIfTrue="1" operator="equal">
      <formula>"C"</formula>
    </cfRule>
    <cfRule type="cellIs" dxfId="237" priority="119" stopIfTrue="1" operator="equal">
      <formula>"B"</formula>
    </cfRule>
    <cfRule type="cellIs" dxfId="236" priority="120" stopIfTrue="1" operator="equal">
      <formula>"A"</formula>
    </cfRule>
  </conditionalFormatting>
  <conditionalFormatting sqref="W8:X8">
    <cfRule type="cellIs" dxfId="231" priority="113" stopIfTrue="1" operator="equal">
      <formula>"C"</formula>
    </cfRule>
    <cfRule type="cellIs" dxfId="230" priority="114" stopIfTrue="1" operator="equal">
      <formula>"C"</formula>
    </cfRule>
    <cfRule type="cellIs" dxfId="229" priority="115" stopIfTrue="1" operator="equal">
      <formula>"B"</formula>
    </cfRule>
    <cfRule type="cellIs" dxfId="228" priority="116" stopIfTrue="1" operator="equal">
      <formula>"A"</formula>
    </cfRule>
  </conditionalFormatting>
  <conditionalFormatting sqref="W8:X8">
    <cfRule type="cellIs" dxfId="223" priority="109" stopIfTrue="1" operator="equal">
      <formula>"C"</formula>
    </cfRule>
    <cfRule type="cellIs" dxfId="222" priority="110" stopIfTrue="1" operator="equal">
      <formula>"C"</formula>
    </cfRule>
    <cfRule type="cellIs" dxfId="221" priority="111" stopIfTrue="1" operator="equal">
      <formula>"B"</formula>
    </cfRule>
    <cfRule type="cellIs" dxfId="220" priority="112" stopIfTrue="1" operator="equal">
      <formula>"A"</formula>
    </cfRule>
  </conditionalFormatting>
  <conditionalFormatting sqref="W8:X8">
    <cfRule type="cellIs" dxfId="215" priority="105" stopIfTrue="1" operator="equal">
      <formula>"C"</formula>
    </cfRule>
    <cfRule type="cellIs" dxfId="214" priority="106" stopIfTrue="1" operator="equal">
      <formula>"C"</formula>
    </cfRule>
    <cfRule type="cellIs" dxfId="213" priority="107" stopIfTrue="1" operator="equal">
      <formula>"B"</formula>
    </cfRule>
    <cfRule type="cellIs" dxfId="212" priority="108" stopIfTrue="1" operator="equal">
      <formula>"A"</formula>
    </cfRule>
  </conditionalFormatting>
  <conditionalFormatting sqref="W8:X8">
    <cfRule type="cellIs" dxfId="207" priority="101" stopIfTrue="1" operator="equal">
      <formula>"C"</formula>
    </cfRule>
    <cfRule type="cellIs" dxfId="206" priority="102" stopIfTrue="1" operator="equal">
      <formula>"C"</formula>
    </cfRule>
    <cfRule type="cellIs" dxfId="205" priority="103" stopIfTrue="1" operator="equal">
      <formula>"B"</formula>
    </cfRule>
    <cfRule type="cellIs" dxfId="204" priority="104" stopIfTrue="1" operator="equal">
      <formula>"A"</formula>
    </cfRule>
  </conditionalFormatting>
  <conditionalFormatting sqref="W8:X8">
    <cfRule type="cellIs" dxfId="199" priority="97" stopIfTrue="1" operator="equal">
      <formula>"C"</formula>
    </cfRule>
    <cfRule type="cellIs" dxfId="198" priority="98" stopIfTrue="1" operator="equal">
      <formula>"C"</formula>
    </cfRule>
    <cfRule type="cellIs" dxfId="197" priority="99" stopIfTrue="1" operator="equal">
      <formula>"B"</formula>
    </cfRule>
    <cfRule type="cellIs" dxfId="196" priority="100" stopIfTrue="1" operator="equal">
      <formula>"A"</formula>
    </cfRule>
  </conditionalFormatting>
  <conditionalFormatting sqref="W8:X8">
    <cfRule type="cellIs" dxfId="191" priority="93" stopIfTrue="1" operator="equal">
      <formula>"C"</formula>
    </cfRule>
    <cfRule type="cellIs" dxfId="190" priority="94" stopIfTrue="1" operator="equal">
      <formula>"C"</formula>
    </cfRule>
    <cfRule type="cellIs" dxfId="189" priority="95" stopIfTrue="1" operator="equal">
      <formula>"B"</formula>
    </cfRule>
    <cfRule type="cellIs" dxfId="188" priority="96" stopIfTrue="1" operator="equal">
      <formula>"A"</formula>
    </cfRule>
  </conditionalFormatting>
  <conditionalFormatting sqref="W8:X8">
    <cfRule type="cellIs" dxfId="183" priority="89" stopIfTrue="1" operator="equal">
      <formula>"C"</formula>
    </cfRule>
    <cfRule type="cellIs" dxfId="182" priority="90" stopIfTrue="1" operator="equal">
      <formula>"C"</formula>
    </cfRule>
    <cfRule type="cellIs" dxfId="181" priority="91" stopIfTrue="1" operator="equal">
      <formula>"B"</formula>
    </cfRule>
    <cfRule type="cellIs" dxfId="180" priority="92" stopIfTrue="1" operator="equal">
      <formula>"A"</formula>
    </cfRule>
  </conditionalFormatting>
  <conditionalFormatting sqref="W8:X8">
    <cfRule type="cellIs" dxfId="175" priority="85" stopIfTrue="1" operator="equal">
      <formula>"C"</formula>
    </cfRule>
    <cfRule type="cellIs" dxfId="174" priority="86" stopIfTrue="1" operator="equal">
      <formula>"C"</formula>
    </cfRule>
    <cfRule type="cellIs" dxfId="173" priority="87" stopIfTrue="1" operator="equal">
      <formula>"B"</formula>
    </cfRule>
    <cfRule type="cellIs" dxfId="172" priority="88" stopIfTrue="1" operator="equal">
      <formula>"A"</formula>
    </cfRule>
  </conditionalFormatting>
  <conditionalFormatting sqref="W8:X8">
    <cfRule type="cellIs" dxfId="167" priority="81" stopIfTrue="1" operator="equal">
      <formula>"C"</formula>
    </cfRule>
    <cfRule type="cellIs" dxfId="166" priority="82" stopIfTrue="1" operator="equal">
      <formula>"C"</formula>
    </cfRule>
    <cfRule type="cellIs" dxfId="165" priority="83" stopIfTrue="1" operator="equal">
      <formula>"B"</formula>
    </cfRule>
    <cfRule type="cellIs" dxfId="164" priority="84" stopIfTrue="1" operator="equal">
      <formula>"A"</formula>
    </cfRule>
  </conditionalFormatting>
  <conditionalFormatting sqref="W8:X8">
    <cfRule type="cellIs" dxfId="159" priority="77" stopIfTrue="1" operator="equal">
      <formula>"C"</formula>
    </cfRule>
    <cfRule type="cellIs" dxfId="158" priority="78" stopIfTrue="1" operator="equal">
      <formula>"C"</formula>
    </cfRule>
    <cfRule type="cellIs" dxfId="157" priority="79" stopIfTrue="1" operator="equal">
      <formula>"B"</formula>
    </cfRule>
    <cfRule type="cellIs" dxfId="156" priority="80" stopIfTrue="1" operator="equal">
      <formula>"A"</formula>
    </cfRule>
  </conditionalFormatting>
  <conditionalFormatting sqref="W8:X8">
    <cfRule type="cellIs" dxfId="151" priority="73" stopIfTrue="1" operator="equal">
      <formula>"C"</formula>
    </cfRule>
    <cfRule type="cellIs" dxfId="150" priority="74" stopIfTrue="1" operator="equal">
      <formula>"C"</formula>
    </cfRule>
    <cfRule type="cellIs" dxfId="149" priority="75" stopIfTrue="1" operator="equal">
      <formula>"B"</formula>
    </cfRule>
    <cfRule type="cellIs" dxfId="148" priority="76" stopIfTrue="1" operator="equal">
      <formula>"A"</formula>
    </cfRule>
  </conditionalFormatting>
  <conditionalFormatting sqref="W8:X8">
    <cfRule type="cellIs" dxfId="143" priority="69" stopIfTrue="1" operator="equal">
      <formula>"C"</formula>
    </cfRule>
    <cfRule type="cellIs" dxfId="142" priority="70" stopIfTrue="1" operator="equal">
      <formula>"C"</formula>
    </cfRule>
    <cfRule type="cellIs" dxfId="141" priority="71" stopIfTrue="1" operator="equal">
      <formula>"B"</formula>
    </cfRule>
    <cfRule type="cellIs" dxfId="140" priority="72" stopIfTrue="1" operator="equal">
      <formula>"A"</formula>
    </cfRule>
  </conditionalFormatting>
  <conditionalFormatting sqref="W8:X8">
    <cfRule type="cellIs" dxfId="135" priority="65" stopIfTrue="1" operator="equal">
      <formula>"C"</formula>
    </cfRule>
    <cfRule type="cellIs" dxfId="134" priority="66" stopIfTrue="1" operator="equal">
      <formula>"C"</formula>
    </cfRule>
    <cfRule type="cellIs" dxfId="133" priority="67" stopIfTrue="1" operator="equal">
      <formula>"B"</formula>
    </cfRule>
    <cfRule type="cellIs" dxfId="132" priority="68" stopIfTrue="1" operator="equal">
      <formula>"A"</formula>
    </cfRule>
  </conditionalFormatting>
  <conditionalFormatting sqref="W8:X8">
    <cfRule type="cellIs" dxfId="127" priority="61" stopIfTrue="1" operator="equal">
      <formula>"C"</formula>
    </cfRule>
    <cfRule type="cellIs" dxfId="126" priority="62" stopIfTrue="1" operator="equal">
      <formula>"C"</formula>
    </cfRule>
    <cfRule type="cellIs" dxfId="125" priority="63" stopIfTrue="1" operator="equal">
      <formula>"B"</formula>
    </cfRule>
    <cfRule type="cellIs" dxfId="124" priority="64" stopIfTrue="1" operator="equal">
      <formula>"A"</formula>
    </cfRule>
  </conditionalFormatting>
  <conditionalFormatting sqref="W9:X11">
    <cfRule type="cellIs" dxfId="119" priority="57" stopIfTrue="1" operator="equal">
      <formula>"C"</formula>
    </cfRule>
    <cfRule type="cellIs" dxfId="118" priority="58" stopIfTrue="1" operator="equal">
      <formula>"C"</formula>
    </cfRule>
    <cfRule type="cellIs" dxfId="117" priority="59" stopIfTrue="1" operator="equal">
      <formula>"B"</formula>
    </cfRule>
    <cfRule type="cellIs" dxfId="116" priority="60" stopIfTrue="1" operator="equal">
      <formula>"A"</formula>
    </cfRule>
  </conditionalFormatting>
  <conditionalFormatting sqref="W9:X11">
    <cfRule type="cellIs" dxfId="111" priority="53" stopIfTrue="1" operator="equal">
      <formula>"C"</formula>
    </cfRule>
    <cfRule type="cellIs" dxfId="110" priority="54" stopIfTrue="1" operator="equal">
      <formula>"C"</formula>
    </cfRule>
    <cfRule type="cellIs" dxfId="109" priority="55" stopIfTrue="1" operator="equal">
      <formula>"B"</formula>
    </cfRule>
    <cfRule type="cellIs" dxfId="108" priority="56" stopIfTrue="1" operator="equal">
      <formula>"A"</formula>
    </cfRule>
  </conditionalFormatting>
  <conditionalFormatting sqref="W9:X11">
    <cfRule type="cellIs" dxfId="103" priority="49" stopIfTrue="1" operator="equal">
      <formula>"C"</formula>
    </cfRule>
    <cfRule type="cellIs" dxfId="102" priority="50" stopIfTrue="1" operator="equal">
      <formula>"C"</formula>
    </cfRule>
    <cfRule type="cellIs" dxfId="101" priority="51" stopIfTrue="1" operator="equal">
      <formula>"B"</formula>
    </cfRule>
    <cfRule type="cellIs" dxfId="100" priority="52" stopIfTrue="1" operator="equal">
      <formula>"A"</formula>
    </cfRule>
  </conditionalFormatting>
  <conditionalFormatting sqref="W9:X11">
    <cfRule type="cellIs" dxfId="95" priority="45" stopIfTrue="1" operator="equal">
      <formula>"C"</formula>
    </cfRule>
    <cfRule type="cellIs" dxfId="94" priority="46" stopIfTrue="1" operator="equal">
      <formula>"C"</formula>
    </cfRule>
    <cfRule type="cellIs" dxfId="93" priority="47" stopIfTrue="1" operator="equal">
      <formula>"B"</formula>
    </cfRule>
    <cfRule type="cellIs" dxfId="92" priority="48" stopIfTrue="1" operator="equal">
      <formula>"A"</formula>
    </cfRule>
  </conditionalFormatting>
  <conditionalFormatting sqref="W9:X11">
    <cfRule type="cellIs" dxfId="87" priority="41" stopIfTrue="1" operator="equal">
      <formula>"C"</formula>
    </cfRule>
    <cfRule type="cellIs" dxfId="86" priority="42" stopIfTrue="1" operator="equal">
      <formula>"C"</formula>
    </cfRule>
    <cfRule type="cellIs" dxfId="85" priority="43" stopIfTrue="1" operator="equal">
      <formula>"B"</formula>
    </cfRule>
    <cfRule type="cellIs" dxfId="84" priority="44" stopIfTrue="1" operator="equal">
      <formula>"A"</formula>
    </cfRule>
  </conditionalFormatting>
  <conditionalFormatting sqref="W9:X11">
    <cfRule type="cellIs" dxfId="79" priority="37" stopIfTrue="1" operator="equal">
      <formula>"C"</formula>
    </cfRule>
    <cfRule type="cellIs" dxfId="78" priority="38" stopIfTrue="1" operator="equal">
      <formula>"C"</formula>
    </cfRule>
    <cfRule type="cellIs" dxfId="77" priority="39" stopIfTrue="1" operator="equal">
      <formula>"B"</formula>
    </cfRule>
    <cfRule type="cellIs" dxfId="76" priority="40" stopIfTrue="1" operator="equal">
      <formula>"A"</formula>
    </cfRule>
  </conditionalFormatting>
  <conditionalFormatting sqref="W9:X11">
    <cfRule type="cellIs" dxfId="71" priority="33" stopIfTrue="1" operator="equal">
      <formula>"C"</formula>
    </cfRule>
    <cfRule type="cellIs" dxfId="70" priority="34" stopIfTrue="1" operator="equal">
      <formula>"C"</formula>
    </cfRule>
    <cfRule type="cellIs" dxfId="69" priority="35" stopIfTrue="1" operator="equal">
      <formula>"B"</formula>
    </cfRule>
    <cfRule type="cellIs" dxfId="68" priority="36" stopIfTrue="1" operator="equal">
      <formula>"A"</formula>
    </cfRule>
  </conditionalFormatting>
  <conditionalFormatting sqref="W9:X11">
    <cfRule type="cellIs" dxfId="63" priority="29" stopIfTrue="1" operator="equal">
      <formula>"C"</formula>
    </cfRule>
    <cfRule type="cellIs" dxfId="62" priority="30" stopIfTrue="1" operator="equal">
      <formula>"C"</formula>
    </cfRule>
    <cfRule type="cellIs" dxfId="61" priority="31" stopIfTrue="1" operator="equal">
      <formula>"B"</formula>
    </cfRule>
    <cfRule type="cellIs" dxfId="60" priority="32" stopIfTrue="1" operator="equal">
      <formula>"A"</formula>
    </cfRule>
  </conditionalFormatting>
  <conditionalFormatting sqref="W9:X11">
    <cfRule type="cellIs" dxfId="55" priority="25" stopIfTrue="1" operator="equal">
      <formula>"C"</formula>
    </cfRule>
    <cfRule type="cellIs" dxfId="54" priority="26" stopIfTrue="1" operator="equal">
      <formula>"C"</formula>
    </cfRule>
    <cfRule type="cellIs" dxfId="53" priority="27" stopIfTrue="1" operator="equal">
      <formula>"B"</formula>
    </cfRule>
    <cfRule type="cellIs" dxfId="52" priority="28" stopIfTrue="1" operator="equal">
      <formula>"A"</formula>
    </cfRule>
  </conditionalFormatting>
  <conditionalFormatting sqref="W9:X11">
    <cfRule type="cellIs" dxfId="47" priority="21" stopIfTrue="1" operator="equal">
      <formula>"C"</formula>
    </cfRule>
    <cfRule type="cellIs" dxfId="46" priority="22" stopIfTrue="1" operator="equal">
      <formula>"C"</formula>
    </cfRule>
    <cfRule type="cellIs" dxfId="45" priority="23" stopIfTrue="1" operator="equal">
      <formula>"B"</formula>
    </cfRule>
    <cfRule type="cellIs" dxfId="44" priority="24" stopIfTrue="1" operator="equal">
      <formula>"A"</formula>
    </cfRule>
  </conditionalFormatting>
  <conditionalFormatting sqref="W9:X11">
    <cfRule type="cellIs" dxfId="39" priority="17" stopIfTrue="1" operator="equal">
      <formula>"C"</formula>
    </cfRule>
    <cfRule type="cellIs" dxfId="38" priority="18" stopIfTrue="1" operator="equal">
      <formula>"C"</formula>
    </cfRule>
    <cfRule type="cellIs" dxfId="37" priority="19" stopIfTrue="1" operator="equal">
      <formula>"B"</formula>
    </cfRule>
    <cfRule type="cellIs" dxfId="36" priority="20" stopIfTrue="1" operator="equal">
      <formula>"A"</formula>
    </cfRule>
  </conditionalFormatting>
  <conditionalFormatting sqref="W9:X11">
    <cfRule type="cellIs" dxfId="31" priority="13" stopIfTrue="1" operator="equal">
      <formula>"C"</formula>
    </cfRule>
    <cfRule type="cellIs" dxfId="30" priority="14" stopIfTrue="1" operator="equal">
      <formula>"C"</formula>
    </cfRule>
    <cfRule type="cellIs" dxfId="29" priority="15" stopIfTrue="1" operator="equal">
      <formula>"B"</formula>
    </cfRule>
    <cfRule type="cellIs" dxfId="28" priority="16" stopIfTrue="1" operator="equal">
      <formula>"A"</formula>
    </cfRule>
  </conditionalFormatting>
  <conditionalFormatting sqref="W9:X11">
    <cfRule type="cellIs" dxfId="23" priority="9" stopIfTrue="1" operator="equal">
      <formula>"C"</formula>
    </cfRule>
    <cfRule type="cellIs" dxfId="22" priority="10" stopIfTrue="1" operator="equal">
      <formula>"C"</formula>
    </cfRule>
    <cfRule type="cellIs" dxfId="21" priority="11" stopIfTrue="1" operator="equal">
      <formula>"B"</formula>
    </cfRule>
    <cfRule type="cellIs" dxfId="20" priority="12" stopIfTrue="1" operator="equal">
      <formula>"A"</formula>
    </cfRule>
  </conditionalFormatting>
  <conditionalFormatting sqref="W9:X11">
    <cfRule type="cellIs" dxfId="15" priority="5" stopIfTrue="1" operator="equal">
      <formula>"C"</formula>
    </cfRule>
    <cfRule type="cellIs" dxfId="14" priority="6" stopIfTrue="1" operator="equal">
      <formula>"C"</formula>
    </cfRule>
    <cfRule type="cellIs" dxfId="13" priority="7" stopIfTrue="1" operator="equal">
      <formula>"B"</formula>
    </cfRule>
    <cfRule type="cellIs" dxfId="12" priority="8" stopIfTrue="1" operator="equal">
      <formula>"A"</formula>
    </cfRule>
  </conditionalFormatting>
  <conditionalFormatting sqref="W9:X11">
    <cfRule type="cellIs" dxfId="7" priority="1" stopIfTrue="1" operator="equal">
      <formula>"C"</formula>
    </cfRule>
    <cfRule type="cellIs" dxfId="6" priority="2" stopIfTrue="1" operator="equal">
      <formula>"C"</formula>
    </cfRule>
    <cfRule type="cellIs" dxfId="5" priority="3" stopIfTrue="1" operator="equal">
      <formula>"B"</formula>
    </cfRule>
    <cfRule type="cellIs" dxfId="4" priority="4" stopIfTrue="1" operator="equal">
      <formula>"A"</formula>
    </cfRule>
  </conditionalFormatting>
  <dataValidations count="2">
    <dataValidation type="list" allowBlank="1" showInputMessage="1" showErrorMessage="1" sqref="P8:P11 U8:V11">
      <formula1>"A, B, C"</formula1>
    </dataValidation>
    <dataValidation type="list" allowBlank="1" showInputMessage="1" showErrorMessage="1" sqref="H8:N11 Q8:S11">
      <formula1>"0, 1, 2, 3"</formula1>
    </dataValidation>
  </dataValidations>
  <hyperlinks>
    <hyperlink ref="G11" r:id="rId1"/>
  </hyperlinks>
  <printOptions horizontalCentered="1" verticalCentered="1"/>
  <pageMargins left="0.7" right="0.7" top="0.75" bottom="0.75" header="0.3" footer="0.3"/>
  <pageSetup paperSize="9" scale="37" orientation="landscape" horizontalDpi="4294967293" r:id="rId2"/>
  <headerFooter alignWithMargins="0">
    <oddFooter>&amp;C&amp;P/&amp;N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20"/>
  <sheetViews>
    <sheetView view="pageBreakPreview" zoomScale="90" zoomScaleNormal="106" zoomScaleSheetLayoutView="90" workbookViewId="0">
      <selection activeCell="D4" sqref="D4"/>
    </sheetView>
  </sheetViews>
  <sheetFormatPr baseColWidth="10" defaultColWidth="11.5703125" defaultRowHeight="12.75"/>
  <cols>
    <col min="1" max="1" width="12.28515625" style="9" customWidth="1"/>
    <col min="2" max="2" width="30.85546875" style="9" customWidth="1"/>
    <col min="3" max="3" width="17.5703125" customWidth="1"/>
    <col min="4" max="4" width="26.42578125" customWidth="1"/>
    <col min="5" max="5" width="23.42578125" customWidth="1"/>
    <col min="6" max="6" width="19.42578125" customWidth="1"/>
    <col min="7" max="7" width="25.42578125" customWidth="1"/>
    <col min="8" max="8" width="12" style="10" customWidth="1"/>
    <col min="9" max="9" width="9.42578125" style="10" customWidth="1"/>
    <col min="10" max="10" width="7.85546875" style="10" customWidth="1"/>
    <col min="11" max="11" width="8.140625" style="10" customWidth="1"/>
    <col min="12" max="12" width="6.5703125" style="10" customWidth="1"/>
    <col min="13" max="13" width="5.5703125" style="10" customWidth="1"/>
    <col min="14" max="14" width="10.85546875" style="10" customWidth="1"/>
    <col min="15" max="15" width="9.85546875" style="10" customWidth="1"/>
    <col min="16" max="16" width="7.42578125" style="10" customWidth="1"/>
    <col min="17" max="17" width="7.7109375" style="10" customWidth="1"/>
    <col min="18" max="18" width="4.85546875" style="10" customWidth="1"/>
    <col min="19" max="19" width="7.85546875" customWidth="1"/>
    <col min="20" max="21" width="11.42578125" customWidth="1"/>
    <col min="22" max="22" width="16" style="10" customWidth="1"/>
    <col min="23" max="26" width="11.5703125" style="10"/>
    <col min="27" max="41" width="11.5703125" style="11"/>
    <col min="42" max="16384" width="11.5703125" style="12"/>
  </cols>
  <sheetData>
    <row r="1" spans="1:41" customFormat="1" ht="24.75" customHeight="1">
      <c r="A1" s="187"/>
      <c r="B1" s="185" t="s">
        <v>22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57" t="s">
        <v>21</v>
      </c>
      <c r="S1" s="158"/>
      <c r="T1" s="158"/>
      <c r="U1" s="158"/>
      <c r="V1" s="159"/>
    </row>
    <row r="2" spans="1:41" customFormat="1" ht="27" customHeight="1">
      <c r="A2" s="188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57">
        <v>3</v>
      </c>
      <c r="S2" s="158"/>
      <c r="T2" s="158"/>
      <c r="U2" s="158"/>
      <c r="V2" s="159"/>
    </row>
    <row r="3" spans="1:41" customFormat="1" ht="15.75" customHeight="1">
      <c r="A3" s="31"/>
      <c r="B3" s="31"/>
      <c r="C3" s="42"/>
      <c r="D3" s="42"/>
      <c r="E3" s="42"/>
      <c r="F3" s="42"/>
      <c r="G3" s="42"/>
      <c r="H3" s="13"/>
      <c r="I3" s="13"/>
      <c r="J3" s="17"/>
      <c r="K3" s="17"/>
      <c r="L3" s="17"/>
      <c r="M3" s="17"/>
      <c r="N3" s="17"/>
      <c r="O3" s="17"/>
      <c r="P3" s="14"/>
      <c r="Q3" s="15"/>
      <c r="R3" s="15"/>
      <c r="S3" s="42"/>
      <c r="T3" s="50"/>
      <c r="U3" s="50"/>
      <c r="V3" s="14"/>
      <c r="Y3" s="2"/>
    </row>
    <row r="4" spans="1:41" customFormat="1" ht="21.75" customHeight="1">
      <c r="A4" s="63" t="s">
        <v>15</v>
      </c>
      <c r="B4" s="117" t="s">
        <v>176</v>
      </c>
      <c r="C4" s="64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4"/>
      <c r="Q4" s="15"/>
      <c r="R4" s="15"/>
      <c r="S4" s="17"/>
      <c r="T4" s="46"/>
      <c r="U4" s="46"/>
      <c r="V4" s="14"/>
      <c r="Y4" s="2"/>
    </row>
    <row r="5" spans="1:41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/>
      <c r="T5"/>
      <c r="U5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6" customFormat="1" ht="18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64" t="s">
        <v>17</v>
      </c>
      <c r="M6" s="165"/>
      <c r="N6" s="193" t="s">
        <v>1</v>
      </c>
      <c r="O6" s="193"/>
      <c r="P6" s="193"/>
      <c r="Q6" s="164" t="s">
        <v>7</v>
      </c>
      <c r="R6" s="165"/>
      <c r="S6" s="168" t="s">
        <v>85</v>
      </c>
      <c r="T6" s="161" t="s">
        <v>82</v>
      </c>
      <c r="U6" s="162"/>
      <c r="V6" s="168" t="s">
        <v>18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8" customFormat="1" ht="63" customHeight="1">
      <c r="A7" s="168"/>
      <c r="B7" s="168"/>
      <c r="C7" s="168"/>
      <c r="D7" s="168"/>
      <c r="E7" s="168"/>
      <c r="F7" s="168"/>
      <c r="G7" s="168"/>
      <c r="H7" s="53" t="s">
        <v>23</v>
      </c>
      <c r="I7" s="53" t="s">
        <v>26</v>
      </c>
      <c r="J7" s="53" t="s">
        <v>27</v>
      </c>
      <c r="K7" s="53" t="s">
        <v>190</v>
      </c>
      <c r="L7" s="166"/>
      <c r="M7" s="167"/>
      <c r="N7" s="53" t="s">
        <v>39</v>
      </c>
      <c r="O7" s="53" t="s">
        <v>31</v>
      </c>
      <c r="P7" s="53" t="s">
        <v>32</v>
      </c>
      <c r="Q7" s="166"/>
      <c r="R7" s="167"/>
      <c r="S7" s="168"/>
      <c r="T7" s="53" t="s">
        <v>83</v>
      </c>
      <c r="U7" s="53" t="s">
        <v>84</v>
      </c>
      <c r="V7" s="168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s="6" customFormat="1" ht="31.5" customHeight="1">
      <c r="A8" s="93" t="s">
        <v>177</v>
      </c>
      <c r="B8" s="84" t="s">
        <v>178</v>
      </c>
      <c r="C8" s="45"/>
      <c r="D8" s="45" t="s">
        <v>179</v>
      </c>
      <c r="E8" s="47"/>
      <c r="F8" s="85">
        <v>79104400</v>
      </c>
      <c r="G8" s="113"/>
      <c r="H8" s="101">
        <v>3</v>
      </c>
      <c r="I8" s="101">
        <v>3</v>
      </c>
      <c r="J8" s="101">
        <v>3</v>
      </c>
      <c r="K8" s="101">
        <v>3</v>
      </c>
      <c r="L8" s="103">
        <f>AVERAGE(H8:K8)</f>
        <v>3</v>
      </c>
      <c r="M8" s="114" t="s">
        <v>8</v>
      </c>
      <c r="N8" s="101">
        <v>3</v>
      </c>
      <c r="O8" s="101">
        <v>3</v>
      </c>
      <c r="P8" s="101">
        <v>3</v>
      </c>
      <c r="Q8" s="103">
        <f>AVERAGE(N8:P8)</f>
        <v>3</v>
      </c>
      <c r="R8" s="114" t="s">
        <v>8</v>
      </c>
      <c r="S8" s="100" t="s">
        <v>8</v>
      </c>
      <c r="T8" s="150" t="s">
        <v>347</v>
      </c>
      <c r="U8" s="108">
        <v>45696</v>
      </c>
      <c r="V8" s="8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6" customFormat="1" ht="27.75" customHeight="1">
      <c r="A9" s="93" t="s">
        <v>180</v>
      </c>
      <c r="B9" s="84" t="s">
        <v>181</v>
      </c>
      <c r="C9" s="45" t="s">
        <v>182</v>
      </c>
      <c r="D9" s="45" t="s">
        <v>183</v>
      </c>
      <c r="E9" s="47"/>
      <c r="F9" s="85">
        <v>72255410</v>
      </c>
      <c r="G9" s="125" t="s">
        <v>184</v>
      </c>
      <c r="H9" s="101">
        <v>3</v>
      </c>
      <c r="I9" s="101">
        <v>2</v>
      </c>
      <c r="J9" s="101">
        <v>3</v>
      </c>
      <c r="K9" s="101">
        <v>1</v>
      </c>
      <c r="L9" s="103">
        <f t="shared" ref="L9:L10" si="0">AVERAGE(H9:K9)</f>
        <v>2.25</v>
      </c>
      <c r="M9" s="114" t="s">
        <v>8</v>
      </c>
      <c r="N9" s="101">
        <v>2</v>
      </c>
      <c r="O9" s="101">
        <v>3</v>
      </c>
      <c r="P9" s="101">
        <v>2</v>
      </c>
      <c r="Q9" s="103">
        <f t="shared" ref="Q9:Q10" si="1">AVERAGE(N9:P9)</f>
        <v>2.3333333333333335</v>
      </c>
      <c r="R9" s="114" t="s">
        <v>8</v>
      </c>
      <c r="S9" s="100" t="s">
        <v>8</v>
      </c>
      <c r="T9" s="150" t="s">
        <v>347</v>
      </c>
      <c r="U9" s="108">
        <v>45696</v>
      </c>
      <c r="V9" s="8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6" customFormat="1" ht="27.75" customHeight="1">
      <c r="A10" s="93" t="s">
        <v>185</v>
      </c>
      <c r="B10" s="84" t="s">
        <v>186</v>
      </c>
      <c r="C10" s="45" t="s">
        <v>187</v>
      </c>
      <c r="D10" s="45" t="s">
        <v>188</v>
      </c>
      <c r="E10" s="45"/>
      <c r="F10" s="86" t="s">
        <v>189</v>
      </c>
      <c r="G10" s="47"/>
      <c r="H10" s="101">
        <v>3</v>
      </c>
      <c r="I10" s="101">
        <v>2</v>
      </c>
      <c r="J10" s="101">
        <v>2</v>
      </c>
      <c r="K10" s="101">
        <v>1</v>
      </c>
      <c r="L10" s="103">
        <f t="shared" si="0"/>
        <v>2</v>
      </c>
      <c r="M10" s="114" t="s">
        <v>10</v>
      </c>
      <c r="N10" s="101">
        <v>3</v>
      </c>
      <c r="O10" s="101">
        <v>3</v>
      </c>
      <c r="P10" s="101">
        <v>2</v>
      </c>
      <c r="Q10" s="103">
        <f t="shared" si="1"/>
        <v>2.6666666666666665</v>
      </c>
      <c r="R10" s="114" t="s">
        <v>8</v>
      </c>
      <c r="S10" s="100" t="s">
        <v>10</v>
      </c>
      <c r="T10" s="150" t="s">
        <v>347</v>
      </c>
      <c r="U10" s="108">
        <v>45696</v>
      </c>
      <c r="V10" s="8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ht="9" customHeight="1">
      <c r="A11" s="38"/>
      <c r="B11" s="38"/>
      <c r="H11" s="25"/>
      <c r="I11" s="25"/>
      <c r="J11" s="16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41" s="69" customFormat="1" ht="25.5" customHeight="1">
      <c r="A12" s="156" t="s">
        <v>86</v>
      </c>
      <c r="B12" s="178"/>
      <c r="C12" s="178"/>
      <c r="D12" s="178"/>
      <c r="E12" s="178"/>
      <c r="F12" s="178"/>
      <c r="G12" s="179"/>
      <c r="I12" s="25"/>
      <c r="J12" s="25"/>
      <c r="K12" s="40"/>
      <c r="L12" s="40"/>
      <c r="M12" s="40"/>
      <c r="N12" s="40"/>
      <c r="O12" s="40"/>
      <c r="P12" s="40"/>
      <c r="Q12" s="40"/>
      <c r="R12" s="40"/>
      <c r="S12" s="54"/>
      <c r="T12" s="54"/>
      <c r="U12" s="54"/>
      <c r="V12" s="40"/>
      <c r="W12" s="40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</row>
    <row r="13" spans="1:41" s="69" customFormat="1" ht="25.5" customHeight="1">
      <c r="A13" s="156" t="s">
        <v>9</v>
      </c>
      <c r="B13" s="178"/>
      <c r="C13" s="179"/>
      <c r="D13" s="156" t="s">
        <v>12</v>
      </c>
      <c r="E13" s="178"/>
      <c r="F13" s="178"/>
      <c r="G13" s="179"/>
      <c r="I13" s="25"/>
      <c r="J13" s="25"/>
      <c r="K13" s="72"/>
      <c r="L13" s="72"/>
      <c r="M13" s="72"/>
      <c r="N13" s="72"/>
      <c r="O13" s="72"/>
      <c r="P13" s="72"/>
      <c r="Q13" s="72"/>
      <c r="R13" s="72"/>
      <c r="S13" s="54"/>
      <c r="T13" s="54"/>
      <c r="U13" s="54"/>
      <c r="V13" s="72"/>
      <c r="W13" s="72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</row>
    <row r="14" spans="1:41" s="69" customFormat="1" ht="25.5" customHeight="1">
      <c r="A14" s="194" t="s">
        <v>2</v>
      </c>
      <c r="B14" s="195"/>
      <c r="C14" s="65" t="s">
        <v>37</v>
      </c>
      <c r="D14" s="82" t="s">
        <v>8</v>
      </c>
      <c r="E14" s="196" t="s">
        <v>40</v>
      </c>
      <c r="F14" s="197"/>
      <c r="G14" s="198"/>
      <c r="I14" s="25"/>
      <c r="J14" s="25"/>
      <c r="K14" s="72"/>
      <c r="L14" s="72"/>
      <c r="M14" s="72"/>
      <c r="N14" s="72"/>
      <c r="O14" s="72"/>
      <c r="P14" s="72"/>
      <c r="Q14" s="72"/>
      <c r="R14" s="72"/>
      <c r="S14"/>
      <c r="T14"/>
      <c r="U14"/>
      <c r="V14" s="72"/>
      <c r="W14" s="72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s="69" customFormat="1" ht="25.5" customHeight="1">
      <c r="A15" s="194" t="s">
        <v>3</v>
      </c>
      <c r="B15" s="195"/>
      <c r="C15" s="66" t="s">
        <v>38</v>
      </c>
      <c r="D15" s="82" t="s">
        <v>10</v>
      </c>
      <c r="E15" s="196" t="s">
        <v>13</v>
      </c>
      <c r="F15" s="197"/>
      <c r="G15" s="198"/>
      <c r="I15" s="25"/>
      <c r="J15" s="25"/>
      <c r="K15" s="72"/>
      <c r="L15" s="72"/>
      <c r="M15" s="72"/>
      <c r="N15" s="72"/>
      <c r="O15" s="72"/>
      <c r="P15" s="72"/>
      <c r="Q15" s="72"/>
      <c r="R15" s="72"/>
      <c r="S15"/>
      <c r="T15"/>
      <c r="U1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1" s="69" customFormat="1" ht="25.5" customHeight="1">
      <c r="A16" s="194" t="s">
        <v>4</v>
      </c>
      <c r="B16" s="195"/>
      <c r="C16" s="67" t="s">
        <v>20</v>
      </c>
      <c r="D16" s="82" t="s">
        <v>11</v>
      </c>
      <c r="E16" s="199" t="s">
        <v>14</v>
      </c>
      <c r="F16" s="200"/>
      <c r="G16" s="201"/>
      <c r="H16" s="55"/>
      <c r="I16" s="55"/>
      <c r="J16" s="55"/>
      <c r="K16" s="25"/>
      <c r="L16" s="25"/>
      <c r="M16" s="25"/>
      <c r="N16" s="25"/>
      <c r="O16" s="25"/>
      <c r="P16" s="25"/>
      <c r="Q16" s="25"/>
      <c r="R16" s="25"/>
      <c r="S16"/>
      <c r="T16"/>
      <c r="U16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1:41" s="69" customFormat="1" ht="25.5" customHeight="1">
      <c r="A17" s="194" t="s">
        <v>5</v>
      </c>
      <c r="B17" s="195"/>
      <c r="C17" s="32" t="s">
        <v>19</v>
      </c>
      <c r="D17" s="39"/>
      <c r="E17" s="39"/>
      <c r="F17" s="39"/>
      <c r="G17" s="39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/>
      <c r="T17"/>
      <c r="U17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1:41" s="69" customFormat="1" ht="12.75" customHeight="1">
      <c r="A18" s="81"/>
      <c r="B18" s="81"/>
      <c r="C18" s="68"/>
      <c r="D18" s="68"/>
      <c r="E18" s="68"/>
      <c r="F18" s="68"/>
      <c r="G18" s="6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/>
      <c r="T18"/>
      <c r="U18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 spans="1:41" s="69" customFormat="1" ht="25.5" customHeight="1">
      <c r="A19" s="180" t="s">
        <v>6</v>
      </c>
      <c r="B19" s="180"/>
      <c r="C19" s="40"/>
      <c r="D19" s="40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/>
      <c r="T19"/>
      <c r="U19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>
      <c r="A20" s="81"/>
      <c r="B20" s="81"/>
      <c r="C20" s="68"/>
      <c r="D20" s="68"/>
      <c r="E20" s="68"/>
      <c r="F20" s="68"/>
      <c r="G20" s="68"/>
    </row>
  </sheetData>
  <mergeCells count="30">
    <mergeCell ref="A19:B19"/>
    <mergeCell ref="B1:Q2"/>
    <mergeCell ref="A15:B15"/>
    <mergeCell ref="E15:G15"/>
    <mergeCell ref="A16:B16"/>
    <mergeCell ref="E16:G16"/>
    <mergeCell ref="A17:B17"/>
    <mergeCell ref="A12:G12"/>
    <mergeCell ref="A13:C13"/>
    <mergeCell ref="D13:G13"/>
    <mergeCell ref="A14:B14"/>
    <mergeCell ref="E14:G14"/>
    <mergeCell ref="K11:W11"/>
    <mergeCell ref="N6:P6"/>
    <mergeCell ref="R1:V1"/>
    <mergeCell ref="R2:V2"/>
    <mergeCell ref="V6:V7"/>
    <mergeCell ref="A1:A2"/>
    <mergeCell ref="A6:A7"/>
    <mergeCell ref="B6:B7"/>
    <mergeCell ref="C6:C7"/>
    <mergeCell ref="D6:D7"/>
    <mergeCell ref="E6:E7"/>
    <mergeCell ref="F6:F7"/>
    <mergeCell ref="G6:G7"/>
    <mergeCell ref="S6:S7"/>
    <mergeCell ref="T6:U6"/>
    <mergeCell ref="H6:K6"/>
    <mergeCell ref="L6:M7"/>
    <mergeCell ref="Q6:R7"/>
  </mergeCells>
  <conditionalFormatting sqref="M8:M10 R8:U10">
    <cfRule type="cellIs" dxfId="1007" priority="81" stopIfTrue="1" operator="equal">
      <formula>"C"</formula>
    </cfRule>
    <cfRule type="cellIs" dxfId="1006" priority="82" stopIfTrue="1" operator="equal">
      <formula>"C"</formula>
    </cfRule>
    <cfRule type="cellIs" dxfId="1005" priority="83" stopIfTrue="1" operator="equal">
      <formula>"B"</formula>
    </cfRule>
    <cfRule type="cellIs" dxfId="1004" priority="84" stopIfTrue="1" operator="equal">
      <formula>"A"</formula>
    </cfRule>
  </conditionalFormatting>
  <dataValidations count="2">
    <dataValidation type="list" allowBlank="1" showInputMessage="1" showErrorMessage="1" sqref="R8:S10 M8:M10">
      <formula1>"A, B, C"</formula1>
    </dataValidation>
    <dataValidation type="list" allowBlank="1" showInputMessage="1" showErrorMessage="1" sqref="H8:K10 N8:P10">
      <formula1>"0, 1, 2, 3"</formula1>
    </dataValidation>
  </dataValidations>
  <hyperlinks>
    <hyperlink ref="G9" r:id="rId1"/>
  </hyperlinks>
  <printOptions horizontalCentered="1" verticalCentered="1"/>
  <pageMargins left="0.7" right="0.7" top="0.75" bottom="0.75" header="0.3" footer="0.3"/>
  <pageSetup paperSize="9" scale="35" orientation="landscape" horizontalDpi="4294967293" r:id="rId2"/>
  <headerFooter alignWithMargins="0">
    <oddFooter>&amp;C&amp;P/&amp;N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22"/>
  <sheetViews>
    <sheetView view="pageBreakPreview" topLeftCell="A3" zoomScale="90" zoomScaleNormal="106" zoomScaleSheetLayoutView="90" workbookViewId="0">
      <selection activeCell="A12" sqref="A12"/>
    </sheetView>
  </sheetViews>
  <sheetFormatPr baseColWidth="10" defaultColWidth="11.5703125" defaultRowHeight="12.75"/>
  <cols>
    <col min="1" max="1" width="12.28515625" style="9" customWidth="1"/>
    <col min="2" max="2" width="34.28515625" style="9" customWidth="1"/>
    <col min="3" max="3" width="17.5703125" customWidth="1"/>
    <col min="4" max="4" width="25.28515625" customWidth="1"/>
    <col min="5" max="5" width="23.42578125" customWidth="1"/>
    <col min="6" max="6" width="21.28515625" customWidth="1"/>
    <col min="7" max="7" width="51" customWidth="1"/>
    <col min="8" max="8" width="11.28515625" style="10" customWidth="1"/>
    <col min="9" max="9" width="9.5703125" style="10" customWidth="1"/>
    <col min="10" max="10" width="16.28515625" style="10" customWidth="1"/>
    <col min="11" max="11" width="7.85546875" style="10" customWidth="1"/>
    <col min="12" max="12" width="5.5703125" style="10" customWidth="1"/>
    <col min="13" max="13" width="9.5703125" style="10" customWidth="1"/>
    <col min="14" max="14" width="9.42578125" style="10" customWidth="1"/>
    <col min="15" max="15" width="5.85546875" style="10" customWidth="1"/>
    <col min="16" max="16" width="5.42578125" style="10" customWidth="1"/>
    <col min="17" max="17" width="14.85546875" style="10" customWidth="1"/>
    <col min="18" max="18" width="9.140625" style="10" customWidth="1"/>
    <col min="19" max="19" width="11" style="10" customWidth="1"/>
    <col min="20" max="20" width="6.28515625" style="10" customWidth="1"/>
    <col min="21" max="21" width="5.42578125" style="10" customWidth="1"/>
    <col min="22" max="22" width="7.85546875" customWidth="1"/>
    <col min="23" max="24" width="11.42578125" customWidth="1"/>
    <col min="25" max="25" width="16" style="10" customWidth="1"/>
    <col min="26" max="26" width="11.5703125" style="10"/>
    <col min="27" max="41" width="11.5703125" style="11"/>
    <col min="42" max="16384" width="11.5703125" style="12"/>
  </cols>
  <sheetData>
    <row r="1" spans="1:49" customFormat="1" ht="24.75" customHeight="1">
      <c r="A1" s="187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157" t="s">
        <v>21</v>
      </c>
      <c r="V1" s="158"/>
      <c r="W1" s="158"/>
      <c r="X1" s="158"/>
      <c r="Y1" s="159"/>
    </row>
    <row r="2" spans="1:49" customFormat="1" ht="27" customHeight="1">
      <c r="A2" s="188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7"/>
      <c r="U2" s="157">
        <v>3</v>
      </c>
      <c r="V2" s="158"/>
      <c r="W2" s="158"/>
      <c r="X2" s="158"/>
      <c r="Y2" s="159"/>
    </row>
    <row r="3" spans="1:49" customFormat="1" ht="15.75" customHeight="1">
      <c r="A3" s="31"/>
      <c r="B3" s="31"/>
      <c r="C3" s="42"/>
      <c r="D3" s="42"/>
      <c r="E3" s="42"/>
      <c r="F3" s="42"/>
      <c r="G3" s="42"/>
      <c r="H3" s="13"/>
      <c r="I3" s="13"/>
      <c r="J3" s="13"/>
      <c r="K3" s="17"/>
      <c r="L3" s="17"/>
      <c r="M3" s="17"/>
      <c r="N3" s="17"/>
      <c r="O3" s="17"/>
      <c r="P3" s="17"/>
      <c r="Q3" s="17"/>
      <c r="R3" s="14"/>
      <c r="S3" s="15"/>
      <c r="T3" s="15"/>
      <c r="U3" s="15"/>
      <c r="V3" s="42"/>
      <c r="W3" s="50"/>
      <c r="X3" s="50"/>
      <c r="Y3" s="14"/>
    </row>
    <row r="4" spans="1:49" customFormat="1" ht="27" customHeight="1">
      <c r="A4" s="63" t="s">
        <v>15</v>
      </c>
      <c r="B4" s="29" t="s">
        <v>45</v>
      </c>
      <c r="C4" s="64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46"/>
      <c r="X4" s="46"/>
      <c r="Y4" s="17"/>
      <c r="Z4" s="17"/>
    </row>
    <row r="5" spans="1:49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/>
      <c r="W5"/>
      <c r="X5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9" s="6" customFormat="1" ht="35.2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203"/>
      <c r="Q6" s="161" t="s">
        <v>1</v>
      </c>
      <c r="R6" s="162"/>
      <c r="S6" s="163"/>
      <c r="T6" s="164" t="s">
        <v>7</v>
      </c>
      <c r="U6" s="203"/>
      <c r="V6" s="168" t="s">
        <v>85</v>
      </c>
      <c r="W6" s="161" t="s">
        <v>82</v>
      </c>
      <c r="X6" s="162"/>
      <c r="Y6" s="206" t="s">
        <v>18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9" s="8" customFormat="1" ht="60" customHeight="1">
      <c r="A7" s="168"/>
      <c r="B7" s="168"/>
      <c r="C7" s="168"/>
      <c r="D7" s="168"/>
      <c r="E7" s="168"/>
      <c r="F7" s="168"/>
      <c r="G7" s="168"/>
      <c r="H7" s="53" t="s">
        <v>23</v>
      </c>
      <c r="I7" s="53" t="s">
        <v>24</v>
      </c>
      <c r="J7" s="53" t="s">
        <v>25</v>
      </c>
      <c r="K7" s="53" t="s">
        <v>26</v>
      </c>
      <c r="L7" s="53" t="s">
        <v>27</v>
      </c>
      <c r="M7" s="53" t="s">
        <v>30</v>
      </c>
      <c r="N7" s="53" t="s">
        <v>67</v>
      </c>
      <c r="O7" s="204"/>
      <c r="P7" s="205"/>
      <c r="Q7" s="53" t="s">
        <v>39</v>
      </c>
      <c r="R7" s="53" t="s">
        <v>31</v>
      </c>
      <c r="S7" s="53" t="s">
        <v>72</v>
      </c>
      <c r="T7" s="204"/>
      <c r="U7" s="205"/>
      <c r="V7" s="168"/>
      <c r="W7" s="53" t="s">
        <v>83</v>
      </c>
      <c r="X7" s="53" t="s">
        <v>84</v>
      </c>
      <c r="Y7" s="20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9" s="8" customFormat="1" ht="21.95" customHeight="1">
      <c r="A8" s="156" t="s">
        <v>52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9" s="8" customFormat="1" ht="27" customHeight="1">
      <c r="A9" s="93" t="s">
        <v>191</v>
      </c>
      <c r="B9" s="84" t="s">
        <v>192</v>
      </c>
      <c r="C9" s="45" t="s">
        <v>193</v>
      </c>
      <c r="D9" s="45" t="s">
        <v>194</v>
      </c>
      <c r="E9" s="47" t="s">
        <v>195</v>
      </c>
      <c r="F9" s="85">
        <v>54608806</v>
      </c>
      <c r="G9" s="125" t="s">
        <v>196</v>
      </c>
      <c r="H9" s="101">
        <v>2</v>
      </c>
      <c r="I9" s="101">
        <v>3</v>
      </c>
      <c r="J9" s="101">
        <v>3</v>
      </c>
      <c r="K9" s="101">
        <v>3</v>
      </c>
      <c r="L9" s="101">
        <v>2</v>
      </c>
      <c r="M9" s="101">
        <v>2</v>
      </c>
      <c r="N9" s="101">
        <v>1</v>
      </c>
      <c r="O9" s="24">
        <f>AVERAGE(H9:N9)</f>
        <v>2.2857142857142856</v>
      </c>
      <c r="P9" s="114" t="s">
        <v>8</v>
      </c>
      <c r="Q9" s="101">
        <v>2</v>
      </c>
      <c r="R9" s="101">
        <v>3</v>
      </c>
      <c r="S9" s="101">
        <v>3</v>
      </c>
      <c r="T9" s="24">
        <f t="shared" ref="T9" si="0">AVERAGE(Q9:S9)</f>
        <v>2.6666666666666665</v>
      </c>
      <c r="U9" s="114" t="s">
        <v>8</v>
      </c>
      <c r="V9" s="114" t="s">
        <v>8</v>
      </c>
      <c r="W9" s="150" t="s">
        <v>347</v>
      </c>
      <c r="X9" s="108">
        <v>45696</v>
      </c>
      <c r="Y9" s="20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9" s="8" customFormat="1" ht="27" customHeight="1">
      <c r="A10" s="37" t="s">
        <v>375</v>
      </c>
      <c r="B10" s="84" t="s">
        <v>197</v>
      </c>
      <c r="C10" s="45"/>
      <c r="D10" s="45" t="s">
        <v>132</v>
      </c>
      <c r="E10" s="47"/>
      <c r="F10" s="86">
        <v>98300590</v>
      </c>
      <c r="G10" s="125"/>
      <c r="H10" s="101">
        <v>3</v>
      </c>
      <c r="I10" s="101">
        <v>3</v>
      </c>
      <c r="J10" s="101">
        <v>3</v>
      </c>
      <c r="K10" s="101">
        <v>2</v>
      </c>
      <c r="L10" s="101">
        <v>2</v>
      </c>
      <c r="M10" s="101">
        <v>2</v>
      </c>
      <c r="N10" s="101">
        <v>3</v>
      </c>
      <c r="O10" s="24">
        <f t="shared" ref="O10" si="1">AVERAGE(H10:N10)</f>
        <v>2.5714285714285716</v>
      </c>
      <c r="P10" s="114" t="s">
        <v>8</v>
      </c>
      <c r="Q10" s="101">
        <v>3</v>
      </c>
      <c r="R10" s="101">
        <v>3</v>
      </c>
      <c r="S10" s="101">
        <v>3</v>
      </c>
      <c r="T10" s="24">
        <f t="shared" ref="T10" si="2">AVERAGE(Q10:S10)</f>
        <v>3</v>
      </c>
      <c r="U10" s="114" t="s">
        <v>8</v>
      </c>
      <c r="V10" s="114" t="s">
        <v>8</v>
      </c>
      <c r="W10" s="150" t="s">
        <v>347</v>
      </c>
      <c r="X10" s="108">
        <v>45696</v>
      </c>
      <c r="Y10" s="114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9" s="8" customFormat="1" ht="21.95" customHeight="1">
      <c r="A11" s="156" t="s">
        <v>53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9" s="8" customFormat="1" ht="28.5" customHeight="1">
      <c r="A12" s="37" t="s">
        <v>376</v>
      </c>
      <c r="B12" s="84" t="s">
        <v>360</v>
      </c>
      <c r="C12" s="45"/>
      <c r="D12" s="45"/>
      <c r="E12" s="45"/>
      <c r="F12" s="86"/>
      <c r="G12" s="47"/>
      <c r="H12" s="101">
        <v>2</v>
      </c>
      <c r="I12" s="101">
        <v>2</v>
      </c>
      <c r="J12" s="101">
        <v>2</v>
      </c>
      <c r="K12" s="101">
        <v>1</v>
      </c>
      <c r="L12" s="101">
        <v>1</v>
      </c>
      <c r="M12" s="101">
        <v>1</v>
      </c>
      <c r="N12" s="101">
        <v>1</v>
      </c>
      <c r="O12" s="24">
        <f t="shared" ref="O12:O13" si="3">AVERAGE(H12:N12)</f>
        <v>1.4285714285714286</v>
      </c>
      <c r="P12" s="114" t="s">
        <v>10</v>
      </c>
      <c r="Q12" s="101">
        <v>2</v>
      </c>
      <c r="R12" s="101">
        <v>2</v>
      </c>
      <c r="S12" s="101">
        <v>1</v>
      </c>
      <c r="T12" s="24">
        <f t="shared" ref="T12" si="4">AVERAGE(Q12:S12)</f>
        <v>1.6666666666666667</v>
      </c>
      <c r="U12" s="114" t="s">
        <v>10</v>
      </c>
      <c r="V12" s="114" t="s">
        <v>10</v>
      </c>
      <c r="W12" s="150" t="s">
        <v>347</v>
      </c>
      <c r="X12" s="108">
        <v>45696</v>
      </c>
      <c r="Y12" s="11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9" s="8" customFormat="1" ht="28.5" customHeight="1">
      <c r="A13" s="93"/>
      <c r="B13" s="84"/>
      <c r="C13" s="45"/>
      <c r="D13" s="45"/>
      <c r="E13" s="45"/>
      <c r="F13" s="86"/>
      <c r="G13" s="124"/>
      <c r="H13" s="101">
        <v>2</v>
      </c>
      <c r="I13" s="101">
        <v>2</v>
      </c>
      <c r="J13" s="101">
        <v>2</v>
      </c>
      <c r="K13" s="101">
        <v>1</v>
      </c>
      <c r="L13" s="101">
        <v>1</v>
      </c>
      <c r="M13" s="101">
        <v>1</v>
      </c>
      <c r="N13" s="101">
        <v>1</v>
      </c>
      <c r="O13" s="24">
        <f t="shared" si="3"/>
        <v>1.4285714285714286</v>
      </c>
      <c r="P13" s="114" t="s">
        <v>10</v>
      </c>
      <c r="Q13" s="101">
        <v>2</v>
      </c>
      <c r="R13" s="101">
        <v>2</v>
      </c>
      <c r="S13" s="101">
        <v>1</v>
      </c>
      <c r="T13" s="24">
        <f>AVERAGE(Q13:S13)</f>
        <v>1.6666666666666667</v>
      </c>
      <c r="U13" s="114" t="s">
        <v>10</v>
      </c>
      <c r="V13" s="114" t="s">
        <v>10</v>
      </c>
      <c r="W13" s="150" t="s">
        <v>347</v>
      </c>
      <c r="X13" s="108">
        <v>45696</v>
      </c>
      <c r="Y13" s="11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9" s="8" customFormat="1" ht="21.95" customHeight="1">
      <c r="A14" s="38"/>
      <c r="B14" s="38"/>
      <c r="C14"/>
      <c r="D14"/>
      <c r="E14"/>
      <c r="F14"/>
      <c r="G14"/>
      <c r="H14" s="40"/>
      <c r="I14" s="40"/>
      <c r="J14" s="40"/>
      <c r="K14" s="40"/>
      <c r="L14" s="2"/>
      <c r="M14" s="1"/>
      <c r="N14" s="1"/>
      <c r="O14" s="1"/>
      <c r="P14" s="1"/>
      <c r="Q14" s="1"/>
      <c r="R14" s="1"/>
      <c r="S14" s="13"/>
      <c r="T14" s="13"/>
      <c r="U14" s="13"/>
      <c r="V14" s="54"/>
      <c r="W14" s="54"/>
      <c r="X14" s="54"/>
      <c r="Y14" s="13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9" s="70" customFormat="1" ht="24.75" customHeight="1">
      <c r="A15" s="156" t="s">
        <v>86</v>
      </c>
      <c r="B15" s="178"/>
      <c r="C15" s="178"/>
      <c r="D15" s="178"/>
      <c r="E15" s="178"/>
      <c r="F15" s="178"/>
      <c r="G15" s="179"/>
      <c r="H15" s="40"/>
      <c r="I15" s="40"/>
      <c r="J15" s="40"/>
      <c r="K15" s="40"/>
      <c r="L15" s="2"/>
      <c r="M15" s="1"/>
      <c r="N15" s="1"/>
      <c r="O15" s="1"/>
      <c r="P15" s="1"/>
      <c r="Q15" s="1"/>
      <c r="R15" s="1"/>
      <c r="S15" s="13"/>
      <c r="T15" s="13"/>
      <c r="U15" s="13"/>
      <c r="V15" s="54"/>
      <c r="W15" s="54"/>
      <c r="X15" s="54"/>
      <c r="Y15" s="13"/>
      <c r="Z15" s="13"/>
      <c r="AA15" s="68"/>
      <c r="AB15" s="68"/>
      <c r="AC15" s="68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s="70" customFormat="1" ht="24.75" customHeight="1">
      <c r="A16" s="155" t="s">
        <v>9</v>
      </c>
      <c r="B16" s="155"/>
      <c r="C16" s="156"/>
      <c r="D16" s="155" t="s">
        <v>12</v>
      </c>
      <c r="E16" s="155"/>
      <c r="F16" s="155"/>
      <c r="G16" s="155"/>
      <c r="H16" s="40"/>
      <c r="I16" s="40"/>
      <c r="J16" s="40"/>
      <c r="K16" s="40"/>
      <c r="L16" s="2"/>
      <c r="S16" s="13"/>
      <c r="T16" s="13"/>
      <c r="U16" s="13"/>
      <c r="V16" s="54"/>
      <c r="W16" s="54"/>
      <c r="X16" s="54"/>
      <c r="Y16" s="13"/>
      <c r="Z16" s="13"/>
      <c r="AA16" s="68"/>
      <c r="AB16" s="68"/>
      <c r="AC16" s="6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s="70" customFormat="1" ht="24.75" customHeight="1">
      <c r="A17" s="183" t="s">
        <v>2</v>
      </c>
      <c r="B17" s="183"/>
      <c r="C17" s="65" t="s">
        <v>37</v>
      </c>
      <c r="D17" s="28" t="s">
        <v>8</v>
      </c>
      <c r="E17" s="181" t="s">
        <v>40</v>
      </c>
      <c r="F17" s="181"/>
      <c r="G17" s="181"/>
      <c r="H17" s="40"/>
      <c r="I17" s="40"/>
      <c r="J17" s="40"/>
      <c r="K17" s="40"/>
      <c r="L17" s="2"/>
      <c r="M17" s="39"/>
      <c r="N17" s="39"/>
      <c r="O17" s="39"/>
      <c r="P17" s="39"/>
      <c r="Q17" s="39"/>
      <c r="R17" s="39"/>
      <c r="S17" s="39"/>
      <c r="T17" s="39"/>
      <c r="U17" s="39"/>
      <c r="V17"/>
      <c r="W17"/>
      <c r="X17"/>
      <c r="Y17" s="13"/>
      <c r="Z17" s="13"/>
      <c r="AA17" s="68"/>
      <c r="AB17" s="68"/>
      <c r="AC17" s="68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s="70" customFormat="1" ht="24.75" customHeight="1">
      <c r="A18" s="183" t="s">
        <v>3</v>
      </c>
      <c r="B18" s="183"/>
      <c r="C18" s="66" t="s">
        <v>38</v>
      </c>
      <c r="D18" s="28" t="s">
        <v>10</v>
      </c>
      <c r="E18" s="181" t="s">
        <v>13</v>
      </c>
      <c r="F18" s="181"/>
      <c r="G18" s="181"/>
      <c r="H18" s="40"/>
      <c r="I18" s="40"/>
      <c r="J18" s="40"/>
      <c r="K18" s="40"/>
      <c r="L18" s="2"/>
      <c r="M18" s="40"/>
      <c r="N18" s="40"/>
      <c r="O18" s="40"/>
      <c r="P18" s="40"/>
      <c r="Q18" s="40"/>
      <c r="R18" s="40"/>
      <c r="S18" s="40"/>
      <c r="T18" s="40"/>
      <c r="U18" s="40"/>
      <c r="V18"/>
      <c r="W18"/>
      <c r="X18"/>
      <c r="Y18" s="2"/>
      <c r="Z18" s="2"/>
      <c r="AA18" s="68"/>
      <c r="AB18" s="68"/>
      <c r="AC18" s="68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s="70" customFormat="1" ht="24.75" customHeight="1">
      <c r="A19" s="183" t="s">
        <v>4</v>
      </c>
      <c r="B19" s="183"/>
      <c r="C19" s="67" t="s">
        <v>20</v>
      </c>
      <c r="D19" s="28" t="s">
        <v>11</v>
      </c>
      <c r="E19" s="182" t="s">
        <v>14</v>
      </c>
      <c r="F19" s="182"/>
      <c r="G19" s="182"/>
      <c r="H19" s="40"/>
      <c r="I19" s="40"/>
      <c r="J19" s="40"/>
      <c r="K19" s="40"/>
      <c r="L19" s="2"/>
      <c r="M19" s="40"/>
      <c r="N19" s="40"/>
      <c r="O19" s="40"/>
      <c r="P19" s="40"/>
      <c r="Q19" s="40"/>
      <c r="R19" s="40"/>
      <c r="S19" s="40"/>
      <c r="T19" s="40"/>
      <c r="U19" s="40"/>
      <c r="V19"/>
      <c r="W19"/>
      <c r="X19"/>
      <c r="Y19" s="2"/>
      <c r="Z19" s="2"/>
      <c r="AA19" s="68"/>
      <c r="AB19" s="68"/>
      <c r="AC19" s="68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70" customFormat="1" ht="24.75" customHeight="1">
      <c r="A20" s="183" t="s">
        <v>5</v>
      </c>
      <c r="B20" s="183"/>
      <c r="C20" s="32" t="s">
        <v>19</v>
      </c>
      <c r="D20" s="39"/>
      <c r="E20" s="39"/>
      <c r="F20" s="39"/>
      <c r="G20" s="39"/>
      <c r="H20" s="40"/>
      <c r="I20" s="40"/>
      <c r="J20" s="40"/>
      <c r="K20" s="40"/>
      <c r="L20" s="2"/>
      <c r="M20" s="2"/>
      <c r="N20" s="2"/>
      <c r="O20" s="2"/>
      <c r="P20" s="2"/>
      <c r="Q20" s="2"/>
      <c r="R20" s="2"/>
      <c r="S20" s="2"/>
      <c r="T20" s="2"/>
      <c r="U20" s="2"/>
      <c r="V20"/>
      <c r="W20"/>
      <c r="X20"/>
      <c r="Y20" s="2"/>
      <c r="Z20" s="2"/>
      <c r="AA20" s="68"/>
      <c r="AB20" s="68"/>
      <c r="AC20" s="68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s="70" customFormat="1" ht="12.75" customHeight="1">
      <c r="A21" s="2"/>
      <c r="B21" s="2"/>
      <c r="C21" s="68"/>
      <c r="D21" s="68"/>
      <c r="E21" s="68"/>
      <c r="F21" s="68"/>
      <c r="G21" s="68"/>
      <c r="H21" s="40"/>
      <c r="I21" s="40"/>
      <c r="J21" s="40"/>
      <c r="K21" s="40"/>
      <c r="L21" s="2"/>
      <c r="M21" s="2"/>
      <c r="N21" s="2"/>
      <c r="O21" s="2"/>
      <c r="P21" s="2"/>
      <c r="Q21" s="2"/>
      <c r="R21" s="2"/>
      <c r="S21" s="2"/>
      <c r="T21" s="2"/>
      <c r="U21" s="2"/>
      <c r="V21"/>
      <c r="W21"/>
      <c r="X21"/>
      <c r="Y21" s="2"/>
      <c r="Z21" s="2"/>
      <c r="AA21" s="68"/>
      <c r="AB21" s="68"/>
      <c r="AC21" s="68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70" customFormat="1" ht="30.75" customHeight="1">
      <c r="A22" s="180" t="s">
        <v>6</v>
      </c>
      <c r="B22" s="180"/>
      <c r="C22" s="40"/>
      <c r="D22" s="40"/>
      <c r="E22" s="40"/>
      <c r="F22" s="40"/>
      <c r="G22" s="40"/>
      <c r="H22" s="40"/>
      <c r="I22" s="40"/>
      <c r="J22" s="40"/>
      <c r="K22" s="40"/>
      <c r="L22" s="2"/>
      <c r="M22" s="2"/>
      <c r="N22" s="2"/>
      <c r="O22" s="2"/>
      <c r="P22" s="2"/>
      <c r="Q22" s="2"/>
      <c r="R22" s="2"/>
      <c r="S22" s="2"/>
      <c r="T22" s="2"/>
      <c r="U22" s="2"/>
      <c r="V22"/>
      <c r="W22"/>
      <c r="X22"/>
      <c r="Y22" s="2"/>
      <c r="Z22" s="2"/>
      <c r="AA22" s="68"/>
      <c r="AB22" s="68"/>
      <c r="AC22" s="68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</sheetData>
  <mergeCells count="31">
    <mergeCell ref="A15:G15"/>
    <mergeCell ref="A16:C16"/>
    <mergeCell ref="A17:B17"/>
    <mergeCell ref="A18:B18"/>
    <mergeCell ref="A19:B19"/>
    <mergeCell ref="A22:B22"/>
    <mergeCell ref="E18:G18"/>
    <mergeCell ref="E19:G19"/>
    <mergeCell ref="A20:B20"/>
    <mergeCell ref="A1:A2"/>
    <mergeCell ref="A8:Y8"/>
    <mergeCell ref="A6:A7"/>
    <mergeCell ref="T6:U7"/>
    <mergeCell ref="A11:Y11"/>
    <mergeCell ref="D16:G16"/>
    <mergeCell ref="E17:G17"/>
    <mergeCell ref="U1:Y1"/>
    <mergeCell ref="U2:Y2"/>
    <mergeCell ref="Q6:S6"/>
    <mergeCell ref="Y6:Y7"/>
    <mergeCell ref="B1:T2"/>
    <mergeCell ref="V6:V7"/>
    <mergeCell ref="W6:X6"/>
    <mergeCell ref="O6:P7"/>
    <mergeCell ref="B6:B7"/>
    <mergeCell ref="C6:C7"/>
    <mergeCell ref="D6:D7"/>
    <mergeCell ref="E6:E7"/>
    <mergeCell ref="F6:F7"/>
    <mergeCell ref="G6:G7"/>
    <mergeCell ref="H6:N6"/>
  </mergeCells>
  <conditionalFormatting sqref="V8:X11 P9:P10 U9:X10 P12:P13 U12:X13">
    <cfRule type="cellIs" dxfId="1003" priority="197" stopIfTrue="1" operator="equal">
      <formula>"C"</formula>
    </cfRule>
    <cfRule type="cellIs" dxfId="1002" priority="198" stopIfTrue="1" operator="equal">
      <formula>"C"</formula>
    </cfRule>
    <cfRule type="cellIs" dxfId="1001" priority="199" stopIfTrue="1" operator="equal">
      <formula>"B"</formula>
    </cfRule>
    <cfRule type="cellIs" dxfId="1000" priority="200" stopIfTrue="1" operator="equal">
      <formula>"A"</formula>
    </cfRule>
  </conditionalFormatting>
  <dataValidations count="2">
    <dataValidation type="list" allowBlank="1" showInputMessage="1" showErrorMessage="1" sqref="U12:U13 U9:U10 P9:P10 V8:V13 P12:P13">
      <formula1>"A, B, C"</formula1>
    </dataValidation>
    <dataValidation type="list" allowBlank="1" showInputMessage="1" showErrorMessage="1" sqref="H12:N13 H9:N10 Q9:S10 Q12:S13">
      <formula1>"0, 1, 2, 3"</formula1>
    </dataValidation>
  </dataValidations>
  <hyperlinks>
    <hyperlink ref="G9" r:id="rId1"/>
  </hyperlinks>
  <printOptions horizontalCentered="1" verticalCentered="1"/>
  <pageMargins left="0.7" right="0.7" top="0.75" bottom="0.75" header="0.3" footer="0.3"/>
  <pageSetup paperSize="9" scale="35" orientation="landscape" horizontalDpi="4294967293" r:id="rId2"/>
  <headerFooter alignWithMargins="0">
    <oddFooter>&amp;C&amp;P/&amp;N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W21"/>
  <sheetViews>
    <sheetView view="pageBreakPreview" zoomScale="80" zoomScaleNormal="106" zoomScaleSheetLayoutView="80" workbookViewId="0">
      <selection activeCell="D4" sqref="D4"/>
    </sheetView>
  </sheetViews>
  <sheetFormatPr baseColWidth="10" defaultColWidth="11.5703125" defaultRowHeight="12.75"/>
  <cols>
    <col min="1" max="1" width="12.28515625" style="9" customWidth="1"/>
    <col min="2" max="2" width="35.4257812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29.140625" customWidth="1"/>
    <col min="8" max="8" width="12.140625" style="10" customWidth="1"/>
    <col min="9" max="9" width="15.28515625" style="10" customWidth="1"/>
    <col min="10" max="10" width="7" style="10" customWidth="1"/>
    <col min="11" max="11" width="4.85546875" style="10" customWidth="1"/>
    <col min="12" max="12" width="8.28515625" style="10" customWidth="1"/>
    <col min="13" max="13" width="10.140625" style="10" customWidth="1"/>
    <col min="14" max="14" width="15" style="10" customWidth="1"/>
    <col min="15" max="16" width="9.140625" style="10" customWidth="1"/>
    <col min="17" max="17" width="9.85546875" style="10" customWidth="1"/>
    <col min="18" max="18" width="8.42578125" style="10" customWidth="1"/>
    <col min="19" max="19" width="9" style="10" customWidth="1"/>
    <col min="20" max="20" width="9.28515625" style="10" customWidth="1"/>
    <col min="21" max="21" width="11.140625" style="10" customWidth="1"/>
    <col min="22" max="22" width="5.85546875" style="119" customWidth="1"/>
    <col min="23" max="24" width="9.85546875" style="10" customWidth="1"/>
    <col min="25" max="25" width="7.85546875" customWidth="1"/>
    <col min="26" max="27" width="11.42578125" customWidth="1"/>
    <col min="28" max="28" width="15.42578125" style="10" customWidth="1"/>
    <col min="29" max="32" width="11.5703125" style="10"/>
    <col min="33" max="47" width="11.5703125" style="11"/>
    <col min="48" max="16384" width="11.5703125" style="12"/>
  </cols>
  <sheetData>
    <row r="1" spans="1:49" customFormat="1" ht="24.75" customHeight="1">
      <c r="A1" s="187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4"/>
      <c r="X1" s="157" t="s">
        <v>21</v>
      </c>
      <c r="Y1" s="158"/>
      <c r="Z1" s="158"/>
      <c r="AA1" s="158"/>
      <c r="AB1" s="159"/>
    </row>
    <row r="2" spans="1:49" customFormat="1" ht="27" customHeight="1">
      <c r="A2" s="188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7"/>
      <c r="X2" s="157">
        <v>3</v>
      </c>
      <c r="Y2" s="158"/>
      <c r="Z2" s="158"/>
      <c r="AA2" s="158"/>
      <c r="AB2" s="159"/>
    </row>
    <row r="3" spans="1:49" customFormat="1" ht="15.75" customHeight="1">
      <c r="A3" s="31"/>
      <c r="B3" s="31"/>
      <c r="C3" s="42"/>
      <c r="D3" s="42"/>
      <c r="E3" s="42"/>
      <c r="F3" s="42"/>
      <c r="G3" s="42"/>
      <c r="H3" s="13"/>
      <c r="I3" s="13"/>
      <c r="J3" s="17"/>
      <c r="K3" s="17"/>
      <c r="L3" s="17"/>
      <c r="M3" s="17"/>
      <c r="N3" s="17"/>
      <c r="O3" s="17"/>
      <c r="P3" s="17"/>
      <c r="Q3" s="17"/>
      <c r="R3" s="14"/>
      <c r="S3" s="15"/>
      <c r="T3" s="15"/>
      <c r="U3" s="15"/>
      <c r="V3" s="15"/>
      <c r="W3" s="15"/>
      <c r="X3" s="15"/>
      <c r="Y3" s="42"/>
      <c r="Z3" s="50"/>
      <c r="AA3" s="50"/>
      <c r="AB3" s="14"/>
      <c r="AE3" s="2"/>
    </row>
    <row r="4" spans="1:49" customFormat="1" ht="28.5" customHeight="1">
      <c r="A4" s="63" t="s">
        <v>15</v>
      </c>
      <c r="B4" s="117" t="s">
        <v>212</v>
      </c>
      <c r="C4" s="64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46"/>
      <c r="AA4" s="46"/>
      <c r="AB4" s="17"/>
      <c r="AC4" s="17"/>
      <c r="AD4" s="17"/>
      <c r="AE4" s="2"/>
    </row>
    <row r="5" spans="1:49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/>
      <c r="Z5"/>
      <c r="AA5"/>
      <c r="AB5" s="2"/>
      <c r="AC5" s="2"/>
      <c r="AD5" s="2"/>
      <c r="AE5" s="2"/>
      <c r="AF5" s="2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9" s="6" customFormat="1" ht="18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0"/>
      <c r="N6" s="171"/>
      <c r="O6" s="164" t="s">
        <v>17</v>
      </c>
      <c r="P6" s="165"/>
      <c r="Q6" s="169" t="s">
        <v>1</v>
      </c>
      <c r="R6" s="170"/>
      <c r="S6" s="170"/>
      <c r="T6" s="170"/>
      <c r="U6" s="170"/>
      <c r="V6" s="129"/>
      <c r="W6" s="164" t="s">
        <v>7</v>
      </c>
      <c r="X6" s="165"/>
      <c r="Y6" s="168" t="s">
        <v>85</v>
      </c>
      <c r="Z6" s="161" t="s">
        <v>82</v>
      </c>
      <c r="AA6" s="162"/>
      <c r="AB6" s="206" t="s">
        <v>18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9" s="8" customFormat="1" ht="57" customHeight="1">
      <c r="A7" s="168"/>
      <c r="B7" s="168"/>
      <c r="C7" s="168"/>
      <c r="D7" s="168"/>
      <c r="E7" s="168"/>
      <c r="F7" s="168"/>
      <c r="G7" s="168"/>
      <c r="H7" s="120" t="s">
        <v>23</v>
      </c>
      <c r="I7" s="53" t="s">
        <v>25</v>
      </c>
      <c r="J7" s="53" t="s">
        <v>26</v>
      </c>
      <c r="K7" s="53" t="s">
        <v>27</v>
      </c>
      <c r="L7" s="53" t="s">
        <v>28</v>
      </c>
      <c r="M7" s="53" t="s">
        <v>30</v>
      </c>
      <c r="N7" s="53" t="s">
        <v>67</v>
      </c>
      <c r="O7" s="166"/>
      <c r="P7" s="167"/>
      <c r="Q7" s="53" t="s">
        <v>39</v>
      </c>
      <c r="R7" s="53" t="s">
        <v>31</v>
      </c>
      <c r="S7" s="53" t="s">
        <v>32</v>
      </c>
      <c r="T7" s="53" t="s">
        <v>33</v>
      </c>
      <c r="U7" s="53" t="s">
        <v>34</v>
      </c>
      <c r="V7" s="53" t="s">
        <v>35</v>
      </c>
      <c r="W7" s="166"/>
      <c r="X7" s="167"/>
      <c r="Y7" s="168"/>
      <c r="Z7" s="53" t="s">
        <v>83</v>
      </c>
      <c r="AA7" s="53" t="s">
        <v>84</v>
      </c>
      <c r="AB7" s="20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49" s="8" customFormat="1" ht="24.75" customHeight="1">
      <c r="A8" s="93" t="s">
        <v>198</v>
      </c>
      <c r="B8" s="37" t="s">
        <v>211</v>
      </c>
      <c r="C8" s="45"/>
      <c r="D8" s="45" t="s">
        <v>132</v>
      </c>
      <c r="E8" s="47" t="s">
        <v>199</v>
      </c>
      <c r="F8" s="85">
        <v>29609610</v>
      </c>
      <c r="G8" s="124" t="s">
        <v>200</v>
      </c>
      <c r="H8" s="101">
        <v>3</v>
      </c>
      <c r="I8" s="101">
        <v>3</v>
      </c>
      <c r="J8" s="101">
        <v>3</v>
      </c>
      <c r="K8" s="101">
        <v>2</v>
      </c>
      <c r="L8" s="101">
        <v>3</v>
      </c>
      <c r="M8" s="101">
        <v>2</v>
      </c>
      <c r="N8" s="101">
        <v>3</v>
      </c>
      <c r="O8" s="24">
        <f t="shared" ref="O8:O10" si="0">AVERAGE(H8:N8)</f>
        <v>2.7142857142857144</v>
      </c>
      <c r="P8" s="114" t="s">
        <v>8</v>
      </c>
      <c r="Q8" s="101">
        <v>3</v>
      </c>
      <c r="R8" s="101">
        <v>2</v>
      </c>
      <c r="S8" s="101">
        <v>2</v>
      </c>
      <c r="T8" s="101">
        <v>2</v>
      </c>
      <c r="U8" s="101">
        <v>3</v>
      </c>
      <c r="V8" s="101">
        <v>3</v>
      </c>
      <c r="W8" s="24">
        <f t="shared" ref="W8:W10" si="1">AVERAGE(Q8:V8)</f>
        <v>2.5</v>
      </c>
      <c r="X8" s="114" t="s">
        <v>8</v>
      </c>
      <c r="Y8" s="114" t="s">
        <v>8</v>
      </c>
      <c r="Z8" s="150" t="s">
        <v>347</v>
      </c>
      <c r="AA8" s="108">
        <v>45696</v>
      </c>
      <c r="AB8" s="114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spans="1:49" s="8" customFormat="1" ht="35.25" customHeight="1">
      <c r="A9" s="93" t="s">
        <v>201</v>
      </c>
      <c r="B9" s="84" t="s">
        <v>202</v>
      </c>
      <c r="C9" s="45"/>
      <c r="D9" s="128" t="s">
        <v>203</v>
      </c>
      <c r="E9" s="47" t="s">
        <v>204</v>
      </c>
      <c r="F9" s="85">
        <v>72272656</v>
      </c>
      <c r="G9" s="47"/>
      <c r="H9" s="101">
        <v>3</v>
      </c>
      <c r="I9" s="101">
        <v>3</v>
      </c>
      <c r="J9" s="101">
        <v>2</v>
      </c>
      <c r="K9" s="101">
        <v>2</v>
      </c>
      <c r="L9" s="101">
        <v>3</v>
      </c>
      <c r="M9" s="101">
        <v>1</v>
      </c>
      <c r="N9" s="101">
        <v>3</v>
      </c>
      <c r="O9" s="24">
        <f t="shared" si="0"/>
        <v>2.4285714285714284</v>
      </c>
      <c r="P9" s="114" t="s">
        <v>8</v>
      </c>
      <c r="Q9" s="101">
        <v>3</v>
      </c>
      <c r="R9" s="101">
        <v>3</v>
      </c>
      <c r="S9" s="101">
        <v>3</v>
      </c>
      <c r="T9" s="101">
        <v>2</v>
      </c>
      <c r="U9" s="101">
        <v>3</v>
      </c>
      <c r="V9" s="101">
        <v>3</v>
      </c>
      <c r="W9" s="24">
        <f t="shared" si="1"/>
        <v>2.8333333333333335</v>
      </c>
      <c r="X9" s="114" t="s">
        <v>8</v>
      </c>
      <c r="Y9" s="114" t="s">
        <v>8</v>
      </c>
      <c r="Z9" s="150" t="s">
        <v>347</v>
      </c>
      <c r="AA9" s="108">
        <v>45696</v>
      </c>
      <c r="AB9" s="114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1:49" s="8" customFormat="1" ht="33" customHeight="1">
      <c r="A10" s="93" t="s">
        <v>205</v>
      </c>
      <c r="B10" s="84" t="s">
        <v>206</v>
      </c>
      <c r="C10" s="45" t="s">
        <v>207</v>
      </c>
      <c r="D10" s="45" t="s">
        <v>208</v>
      </c>
      <c r="E10" s="47" t="s">
        <v>209</v>
      </c>
      <c r="F10" s="85">
        <v>98796612</v>
      </c>
      <c r="G10" s="88" t="s">
        <v>210</v>
      </c>
      <c r="H10" s="101">
        <v>3</v>
      </c>
      <c r="I10" s="101">
        <v>3</v>
      </c>
      <c r="J10" s="101">
        <v>3</v>
      </c>
      <c r="K10" s="101">
        <v>2</v>
      </c>
      <c r="L10" s="101">
        <v>3</v>
      </c>
      <c r="M10" s="101">
        <v>2</v>
      </c>
      <c r="N10" s="101">
        <v>3</v>
      </c>
      <c r="O10" s="24">
        <f t="shared" si="0"/>
        <v>2.7142857142857144</v>
      </c>
      <c r="P10" s="114" t="s">
        <v>8</v>
      </c>
      <c r="Q10" s="101">
        <v>3</v>
      </c>
      <c r="R10" s="101">
        <v>3</v>
      </c>
      <c r="S10" s="101">
        <v>3</v>
      </c>
      <c r="T10" s="101">
        <v>2</v>
      </c>
      <c r="U10" s="101">
        <v>3</v>
      </c>
      <c r="V10" s="101">
        <v>3</v>
      </c>
      <c r="W10" s="24">
        <f t="shared" si="1"/>
        <v>2.8333333333333335</v>
      </c>
      <c r="X10" s="114" t="s">
        <v>8</v>
      </c>
      <c r="Y10" s="114" t="s">
        <v>8</v>
      </c>
      <c r="Z10" s="150" t="s">
        <v>347</v>
      </c>
      <c r="AA10" s="108">
        <v>45696</v>
      </c>
      <c r="AB10" s="114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1:49" s="8" customFormat="1" ht="33" customHeight="1">
      <c r="A11" s="93"/>
      <c r="B11" s="84"/>
      <c r="C11" s="45"/>
      <c r="D11" s="45"/>
      <c r="E11" s="47"/>
      <c r="F11" s="85"/>
      <c r="G11" s="88"/>
      <c r="H11" s="101"/>
      <c r="I11" s="101"/>
      <c r="J11" s="101"/>
      <c r="K11" s="101"/>
      <c r="L11" s="101"/>
      <c r="M11" s="101"/>
      <c r="N11" s="101"/>
      <c r="O11" s="24"/>
      <c r="P11" s="151"/>
      <c r="Q11" s="101"/>
      <c r="R11" s="101"/>
      <c r="S11" s="101"/>
      <c r="T11" s="101"/>
      <c r="U11" s="101"/>
      <c r="V11" s="101"/>
      <c r="W11" s="24"/>
      <c r="X11" s="151"/>
      <c r="Y11" s="151"/>
      <c r="Z11" s="150"/>
      <c r="AA11" s="108"/>
      <c r="AB11" s="151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1:49" s="8" customFormat="1" ht="21.95" customHeight="1">
      <c r="A12" s="38"/>
      <c r="B12" s="38"/>
      <c r="C12"/>
      <c r="D12"/>
      <c r="E12"/>
      <c r="F12"/>
      <c r="G12"/>
      <c r="H12" s="40"/>
      <c r="I12" s="40"/>
      <c r="J12" s="40"/>
      <c r="K12" s="2"/>
      <c r="L12" s="1"/>
      <c r="M12" s="1"/>
      <c r="N12" s="1"/>
      <c r="O12" s="1"/>
      <c r="P12" s="1"/>
      <c r="Q12" s="1"/>
      <c r="R12" s="13"/>
      <c r="S12" s="13"/>
      <c r="T12" s="13"/>
      <c r="U12" s="54"/>
      <c r="V12" s="54"/>
      <c r="W12" s="54"/>
      <c r="X12" s="54"/>
      <c r="Y12" s="13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9" s="70" customFormat="1" ht="24.75" customHeight="1">
      <c r="A13" s="156" t="s">
        <v>86</v>
      </c>
      <c r="B13" s="178"/>
      <c r="C13" s="178"/>
      <c r="D13" s="178"/>
      <c r="E13" s="178"/>
      <c r="F13" s="178"/>
      <c r="G13" s="179"/>
      <c r="H13" s="40"/>
      <c r="I13" s="40"/>
      <c r="J13" s="40"/>
      <c r="K13" s="2"/>
      <c r="L13" s="1"/>
      <c r="M13" s="1"/>
      <c r="N13" s="1"/>
      <c r="O13" s="1"/>
      <c r="P13" s="1"/>
      <c r="Q13" s="1"/>
      <c r="R13" s="13"/>
      <c r="S13" s="13"/>
      <c r="T13" s="13"/>
      <c r="U13" s="54"/>
      <c r="V13" s="54"/>
      <c r="W13" s="54"/>
      <c r="X13" s="54"/>
      <c r="Y13" s="13"/>
      <c r="Z13" s="13"/>
      <c r="AA13" s="68"/>
      <c r="AB13" s="68"/>
      <c r="AC13" s="68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s="70" customFormat="1" ht="24.75" customHeight="1">
      <c r="A14" s="155" t="s">
        <v>9</v>
      </c>
      <c r="B14" s="155"/>
      <c r="C14" s="156"/>
      <c r="D14" s="155" t="s">
        <v>12</v>
      </c>
      <c r="E14" s="155"/>
      <c r="F14" s="155"/>
      <c r="G14" s="155"/>
      <c r="H14" s="40"/>
      <c r="I14" s="40"/>
      <c r="J14" s="40"/>
      <c r="K14" s="2"/>
      <c r="R14" s="13"/>
      <c r="S14" s="13"/>
      <c r="T14" s="13"/>
      <c r="U14" s="54"/>
      <c r="V14" s="54"/>
      <c r="W14" s="54"/>
      <c r="X14" s="54"/>
      <c r="Y14" s="13"/>
      <c r="Z14" s="13"/>
      <c r="AA14" s="68"/>
      <c r="AB14" s="68"/>
      <c r="AC14" s="68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s="70" customFormat="1" ht="24.75" customHeight="1">
      <c r="A15" s="183" t="s">
        <v>2</v>
      </c>
      <c r="B15" s="183"/>
      <c r="C15" s="65" t="s">
        <v>37</v>
      </c>
      <c r="D15" s="28" t="s">
        <v>8</v>
      </c>
      <c r="E15" s="181" t="s">
        <v>40</v>
      </c>
      <c r="F15" s="181"/>
      <c r="G15" s="181"/>
      <c r="H15" s="40"/>
      <c r="I15" s="40"/>
      <c r="J15" s="40"/>
      <c r="K15" s="2"/>
      <c r="L15" s="39"/>
      <c r="M15" s="39"/>
      <c r="N15" s="39"/>
      <c r="O15" s="39"/>
      <c r="P15" s="39"/>
      <c r="Q15" s="39"/>
      <c r="R15" s="39"/>
      <c r="S15" s="39"/>
      <c r="T15" s="39"/>
      <c r="U15"/>
      <c r="V15"/>
      <c r="W15"/>
      <c r="X15"/>
      <c r="Y15" s="13"/>
      <c r="Z15" s="13"/>
      <c r="AA15" s="68"/>
      <c r="AB15" s="68"/>
      <c r="AC15" s="68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s="70" customFormat="1" ht="24.75" customHeight="1">
      <c r="A16" s="183" t="s">
        <v>3</v>
      </c>
      <c r="B16" s="183"/>
      <c r="C16" s="66" t="s">
        <v>38</v>
      </c>
      <c r="D16" s="28" t="s">
        <v>10</v>
      </c>
      <c r="E16" s="181" t="s">
        <v>13</v>
      </c>
      <c r="F16" s="181"/>
      <c r="G16" s="181"/>
      <c r="H16" s="40"/>
      <c r="I16" s="40"/>
      <c r="J16" s="40"/>
      <c r="K16" s="2"/>
      <c r="L16" s="40"/>
      <c r="M16" s="40"/>
      <c r="N16" s="40"/>
      <c r="O16" s="40"/>
      <c r="P16" s="40"/>
      <c r="Q16" s="40"/>
      <c r="R16" s="40"/>
      <c r="S16" s="40"/>
      <c r="T16" s="40"/>
      <c r="U16"/>
      <c r="V16"/>
      <c r="W16"/>
      <c r="X16"/>
      <c r="Y16" s="2"/>
      <c r="Z16" s="2"/>
      <c r="AA16" s="68"/>
      <c r="AB16" s="68"/>
      <c r="AC16" s="6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s="70" customFormat="1" ht="24.75" customHeight="1">
      <c r="A17" s="183" t="s">
        <v>4</v>
      </c>
      <c r="B17" s="183"/>
      <c r="C17" s="67" t="s">
        <v>20</v>
      </c>
      <c r="D17" s="28" t="s">
        <v>11</v>
      </c>
      <c r="E17" s="182" t="s">
        <v>14</v>
      </c>
      <c r="F17" s="182"/>
      <c r="G17" s="182"/>
      <c r="H17" s="40"/>
      <c r="I17" s="40"/>
      <c r="J17" s="40"/>
      <c r="K17" s="2"/>
      <c r="L17" s="40"/>
      <c r="M17" s="40"/>
      <c r="N17" s="40"/>
      <c r="O17" s="40"/>
      <c r="P17" s="40"/>
      <c r="Q17" s="40"/>
      <c r="R17" s="40"/>
      <c r="S17" s="40"/>
      <c r="T17" s="40"/>
      <c r="U17"/>
      <c r="V17"/>
      <c r="W17"/>
      <c r="X17"/>
      <c r="Y17" s="2"/>
      <c r="Z17" s="2"/>
      <c r="AA17" s="68"/>
      <c r="AB17" s="68"/>
      <c r="AC17" s="68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s="70" customFormat="1" ht="24.75" customHeight="1">
      <c r="A18" s="183" t="s">
        <v>5</v>
      </c>
      <c r="B18" s="183"/>
      <c r="C18" s="32" t="s">
        <v>19</v>
      </c>
      <c r="D18" s="39"/>
      <c r="E18" s="39"/>
      <c r="F18" s="39"/>
      <c r="G18" s="39"/>
      <c r="H18" s="40"/>
      <c r="I18" s="40"/>
      <c r="J18" s="40"/>
      <c r="K18" s="2"/>
      <c r="L18" s="2"/>
      <c r="M18" s="2"/>
      <c r="N18" s="2"/>
      <c r="O18" s="2"/>
      <c r="P18" s="2"/>
      <c r="Q18" s="2"/>
      <c r="R18" s="2"/>
      <c r="S18" s="2"/>
      <c r="T18" s="2"/>
      <c r="U18"/>
      <c r="V18"/>
      <c r="W18"/>
      <c r="X18"/>
      <c r="Y18" s="2"/>
      <c r="Z18" s="2"/>
      <c r="AA18" s="68"/>
      <c r="AB18" s="68"/>
      <c r="AC18" s="68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s="70" customFormat="1" ht="12.75" customHeight="1">
      <c r="A19" s="2"/>
      <c r="B19" s="2"/>
      <c r="C19" s="68"/>
      <c r="D19" s="68"/>
      <c r="E19" s="68"/>
      <c r="F19" s="68"/>
      <c r="G19" s="68"/>
      <c r="H19" s="40"/>
      <c r="I19" s="40"/>
      <c r="J19" s="40"/>
      <c r="K19" s="2"/>
      <c r="L19" s="2"/>
      <c r="M19" s="2"/>
      <c r="N19" s="2"/>
      <c r="O19" s="2"/>
      <c r="P19" s="2"/>
      <c r="Q19" s="2"/>
      <c r="R19" s="2"/>
      <c r="S19" s="2"/>
      <c r="T19" s="2"/>
      <c r="U19"/>
      <c r="V19"/>
      <c r="W19"/>
      <c r="X19"/>
      <c r="Y19" s="2"/>
      <c r="Z19" s="2"/>
      <c r="AA19" s="68"/>
      <c r="AB19" s="68"/>
      <c r="AC19" s="68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70" customFormat="1" ht="30.75" customHeight="1">
      <c r="A20" s="180" t="s">
        <v>6</v>
      </c>
      <c r="B20" s="180"/>
      <c r="C20" s="40"/>
      <c r="D20" s="40"/>
      <c r="E20" s="40"/>
      <c r="F20" s="40"/>
      <c r="G20" s="40"/>
      <c r="H20" s="40"/>
      <c r="I20" s="40"/>
      <c r="J20" s="40"/>
      <c r="K20" s="2"/>
      <c r="L20" s="2"/>
      <c r="M20" s="2"/>
      <c r="N20" s="2"/>
      <c r="O20" s="2"/>
      <c r="P20" s="2"/>
      <c r="Q20" s="2"/>
      <c r="R20" s="2"/>
      <c r="S20" s="2"/>
      <c r="T20" s="2"/>
      <c r="U20"/>
      <c r="V20"/>
      <c r="W20"/>
      <c r="X20"/>
      <c r="Y20" s="2"/>
      <c r="Z20" s="2"/>
      <c r="AA20" s="68"/>
      <c r="AB20" s="68"/>
      <c r="AC20" s="68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>
      <c r="B21" s="2"/>
      <c r="C21" s="40"/>
      <c r="D21" s="40"/>
      <c r="E21" s="40"/>
      <c r="F21" s="40"/>
      <c r="G21" s="40"/>
    </row>
  </sheetData>
  <mergeCells count="29">
    <mergeCell ref="A20:B20"/>
    <mergeCell ref="D6:D7"/>
    <mergeCell ref="E6:E7"/>
    <mergeCell ref="F6:F7"/>
    <mergeCell ref="E17:G17"/>
    <mergeCell ref="E15:G15"/>
    <mergeCell ref="E16:G16"/>
    <mergeCell ref="A18:B18"/>
    <mergeCell ref="G6:G7"/>
    <mergeCell ref="A1:A2"/>
    <mergeCell ref="A6:A7"/>
    <mergeCell ref="B6:B7"/>
    <mergeCell ref="C6:C7"/>
    <mergeCell ref="A17:B17"/>
    <mergeCell ref="A15:B15"/>
    <mergeCell ref="A16:B16"/>
    <mergeCell ref="A13:G13"/>
    <mergeCell ref="A14:C14"/>
    <mergeCell ref="D14:G14"/>
    <mergeCell ref="X1:AB1"/>
    <mergeCell ref="X2:AB2"/>
    <mergeCell ref="H6:N6"/>
    <mergeCell ref="Y6:Y7"/>
    <mergeCell ref="Z6:AA6"/>
    <mergeCell ref="AB6:AB7"/>
    <mergeCell ref="W6:X7"/>
    <mergeCell ref="O6:P7"/>
    <mergeCell ref="Q6:U6"/>
    <mergeCell ref="B1:W2"/>
  </mergeCells>
  <conditionalFormatting sqref="P8:P11 X8:AA11">
    <cfRule type="cellIs" dxfId="999" priority="85" stopIfTrue="1" operator="equal">
      <formula>"C"</formula>
    </cfRule>
    <cfRule type="cellIs" dxfId="998" priority="86" stopIfTrue="1" operator="equal">
      <formula>"C"</formula>
    </cfRule>
    <cfRule type="cellIs" dxfId="997" priority="87" stopIfTrue="1" operator="equal">
      <formula>"B"</formula>
    </cfRule>
    <cfRule type="cellIs" dxfId="996" priority="88" stopIfTrue="1" operator="equal">
      <formula>"A"</formula>
    </cfRule>
  </conditionalFormatting>
  <dataValidations disablePrompts="1" count="2">
    <dataValidation type="list" allowBlank="1" showInputMessage="1" showErrorMessage="1" sqref="P8:P11 X8:Y11">
      <formula1>"A, B, C"</formula1>
    </dataValidation>
    <dataValidation type="list" allowBlank="1" showInputMessage="1" showErrorMessage="1" sqref="Q8:V11 H8:N11">
      <formula1>"0, 1, 2, 3"</formula1>
    </dataValidation>
  </dataValidations>
  <hyperlinks>
    <hyperlink ref="G10" r:id="rId1"/>
    <hyperlink ref="F9" r:id="rId2" display="tel:72 272 656 / 72 220 509"/>
    <hyperlink ref="G8" r:id="rId3"/>
  </hyperlinks>
  <printOptions horizontalCentered="1" verticalCentered="1"/>
  <pageMargins left="0.7" right="0.7" top="0.75" bottom="0.75" header="0.3" footer="0.3"/>
  <pageSetup paperSize="9" scale="35" orientation="landscape" horizontalDpi="4294967293" r:id="rId4"/>
  <headerFooter alignWithMargins="0">
    <oddFooter>&amp;C&amp;P/&amp;N</oddFooter>
  </headerFooter>
  <drawing r:id="rId5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6"/>
  <sheetViews>
    <sheetView view="pageBreakPreview" zoomScale="82" zoomScaleNormal="106" zoomScaleSheetLayoutView="82" workbookViewId="0">
      <selection activeCell="D4" sqref="D4"/>
    </sheetView>
  </sheetViews>
  <sheetFormatPr baseColWidth="10" defaultColWidth="11.5703125" defaultRowHeight="12.75"/>
  <cols>
    <col min="1" max="1" width="12.28515625" style="9" customWidth="1"/>
    <col min="2" max="2" width="30.8554687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30" customWidth="1"/>
    <col min="8" max="8" width="11.7109375" style="10" customWidth="1"/>
    <col min="9" max="9" width="16.5703125" style="10" customWidth="1"/>
    <col min="10" max="10" width="11.42578125" style="10" customWidth="1"/>
    <col min="11" max="11" width="6.85546875" style="10" customWidth="1"/>
    <col min="12" max="12" width="10" style="10" customWidth="1"/>
    <col min="13" max="13" width="10.140625" style="10" customWidth="1"/>
    <col min="14" max="14" width="10.5703125" style="10" customWidth="1"/>
    <col min="15" max="15" width="6.42578125" style="10" customWidth="1"/>
    <col min="16" max="16" width="9.85546875" style="10" customWidth="1"/>
    <col min="17" max="17" width="8.85546875" style="10" customWidth="1"/>
    <col min="18" max="18" width="11.85546875" style="10" customWidth="1"/>
    <col min="19" max="19" width="8.85546875" style="10" customWidth="1"/>
    <col min="20" max="20" width="6.5703125" style="10" customWidth="1"/>
    <col min="21" max="21" width="7.85546875" customWidth="1"/>
    <col min="22" max="23" width="11.42578125" customWidth="1"/>
    <col min="24" max="24" width="16" style="10" customWidth="1"/>
    <col min="25" max="28" width="11.5703125" style="10"/>
    <col min="29" max="43" width="11.5703125" style="11"/>
    <col min="44" max="16384" width="11.5703125" style="12"/>
  </cols>
  <sheetData>
    <row r="1" spans="1:52" customFormat="1" ht="24.75" customHeight="1">
      <c r="A1" s="187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4"/>
      <c r="T1" s="157" t="s">
        <v>21</v>
      </c>
      <c r="U1" s="158"/>
      <c r="V1" s="158"/>
      <c r="W1" s="158"/>
      <c r="X1" s="159"/>
    </row>
    <row r="2" spans="1:52" customFormat="1" ht="27" customHeight="1">
      <c r="A2" s="188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7"/>
      <c r="T2" s="157">
        <v>3</v>
      </c>
      <c r="U2" s="158"/>
      <c r="V2" s="158"/>
      <c r="W2" s="158"/>
      <c r="X2" s="159"/>
    </row>
    <row r="3" spans="1:52" customFormat="1" ht="15.75" customHeight="1">
      <c r="A3" s="31"/>
      <c r="B3" s="31"/>
      <c r="C3" s="42"/>
      <c r="D3" s="42"/>
      <c r="E3" s="42"/>
      <c r="F3" s="42"/>
      <c r="G3" s="42"/>
      <c r="H3" s="13"/>
      <c r="I3" s="13"/>
      <c r="J3" s="17"/>
      <c r="K3" s="17"/>
      <c r="L3" s="17"/>
      <c r="M3" s="17"/>
      <c r="N3" s="17"/>
      <c r="O3" s="17"/>
      <c r="P3" s="17"/>
      <c r="Q3" s="14"/>
      <c r="R3" s="15"/>
      <c r="S3" s="15"/>
      <c r="T3" s="15"/>
      <c r="U3" s="42"/>
      <c r="V3" s="50"/>
      <c r="W3" s="50"/>
      <c r="X3" s="14"/>
      <c r="AA3" s="2"/>
    </row>
    <row r="4" spans="1:52" customFormat="1" ht="41.25" customHeight="1">
      <c r="A4" s="74" t="s">
        <v>15</v>
      </c>
      <c r="B4" s="53" t="s">
        <v>213</v>
      </c>
      <c r="C4" s="75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4"/>
      <c r="R4" s="15"/>
      <c r="S4" s="15"/>
      <c r="T4" s="15"/>
      <c r="U4" s="17"/>
      <c r="V4" s="46"/>
      <c r="W4" s="46"/>
      <c r="X4" s="14"/>
      <c r="AA4" s="2"/>
    </row>
    <row r="5" spans="1:52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/>
      <c r="V5"/>
      <c r="W5"/>
      <c r="X5" s="2"/>
      <c r="Y5" s="2"/>
      <c r="Z5" s="2"/>
      <c r="AA5" s="2"/>
      <c r="AB5" s="2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52" s="6" customFormat="1" ht="35.2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1"/>
      <c r="N6" s="164" t="s">
        <v>17</v>
      </c>
      <c r="O6" s="165"/>
      <c r="P6" s="161" t="s">
        <v>1</v>
      </c>
      <c r="Q6" s="162"/>
      <c r="R6" s="163"/>
      <c r="S6" s="164" t="s">
        <v>7</v>
      </c>
      <c r="T6" s="165"/>
      <c r="U6" s="168" t="s">
        <v>85</v>
      </c>
      <c r="V6" s="161" t="s">
        <v>82</v>
      </c>
      <c r="W6" s="162"/>
      <c r="X6" s="168" t="s">
        <v>18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52" s="8" customFormat="1" ht="63.75" customHeight="1">
      <c r="A7" s="168"/>
      <c r="B7" s="168"/>
      <c r="C7" s="168"/>
      <c r="D7" s="168"/>
      <c r="E7" s="168"/>
      <c r="F7" s="168"/>
      <c r="G7" s="168"/>
      <c r="H7" s="53" t="s">
        <v>23</v>
      </c>
      <c r="I7" s="53" t="s">
        <v>25</v>
      </c>
      <c r="J7" s="53" t="s">
        <v>26</v>
      </c>
      <c r="K7" s="53" t="s">
        <v>27</v>
      </c>
      <c r="L7" s="53" t="s">
        <v>30</v>
      </c>
      <c r="M7" s="53" t="s">
        <v>190</v>
      </c>
      <c r="N7" s="166"/>
      <c r="O7" s="167"/>
      <c r="P7" s="53" t="s">
        <v>71</v>
      </c>
      <c r="Q7" s="53" t="s">
        <v>31</v>
      </c>
      <c r="R7" s="53" t="s">
        <v>66</v>
      </c>
      <c r="S7" s="166"/>
      <c r="T7" s="167"/>
      <c r="U7" s="168"/>
      <c r="V7" s="53" t="s">
        <v>83</v>
      </c>
      <c r="W7" s="53" t="s">
        <v>84</v>
      </c>
      <c r="X7" s="168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52" s="8" customFormat="1" ht="34.5" customHeight="1">
      <c r="A8" s="93" t="s">
        <v>214</v>
      </c>
      <c r="B8" s="84" t="s">
        <v>215</v>
      </c>
      <c r="C8" s="45" t="s">
        <v>216</v>
      </c>
      <c r="D8" s="45" t="s">
        <v>217</v>
      </c>
      <c r="E8" s="45" t="s">
        <v>218</v>
      </c>
      <c r="F8" s="86">
        <v>72221674</v>
      </c>
      <c r="G8" s="127"/>
      <c r="H8" s="101">
        <v>2</v>
      </c>
      <c r="I8" s="101">
        <v>3</v>
      </c>
      <c r="J8" s="101">
        <v>2</v>
      </c>
      <c r="K8" s="101">
        <v>2</v>
      </c>
      <c r="L8" s="101">
        <v>2</v>
      </c>
      <c r="M8" s="101">
        <v>3</v>
      </c>
      <c r="N8" s="24">
        <f>AVERAGE(H8:M8)</f>
        <v>2.3333333333333335</v>
      </c>
      <c r="O8" s="114" t="s">
        <v>8</v>
      </c>
      <c r="P8" s="101">
        <v>3</v>
      </c>
      <c r="Q8" s="101">
        <v>3</v>
      </c>
      <c r="R8" s="101">
        <v>3</v>
      </c>
      <c r="S8" s="24">
        <f>AVERAGE(P8:R8)</f>
        <v>3</v>
      </c>
      <c r="T8" s="114" t="s">
        <v>8</v>
      </c>
      <c r="U8" s="114" t="s">
        <v>8</v>
      </c>
      <c r="V8" s="150" t="s">
        <v>347</v>
      </c>
      <c r="W8" s="108">
        <v>45696</v>
      </c>
      <c r="X8" s="20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52" s="8" customFormat="1" ht="34.5" customHeight="1">
      <c r="A9" s="93" t="s">
        <v>219</v>
      </c>
      <c r="B9" s="84" t="s">
        <v>220</v>
      </c>
      <c r="C9" s="45"/>
      <c r="D9" s="45" t="s">
        <v>221</v>
      </c>
      <c r="E9" s="47"/>
      <c r="F9" s="85">
        <v>72224494</v>
      </c>
      <c r="G9" s="126"/>
      <c r="H9" s="101">
        <v>3</v>
      </c>
      <c r="I9" s="101">
        <v>2</v>
      </c>
      <c r="J9" s="101">
        <v>2</v>
      </c>
      <c r="K9" s="101">
        <v>2</v>
      </c>
      <c r="L9" s="101">
        <v>2</v>
      </c>
      <c r="M9" s="101">
        <v>3</v>
      </c>
      <c r="N9" s="24">
        <f t="shared" ref="N9" si="0">AVERAGE(H9:M9)</f>
        <v>2.3333333333333335</v>
      </c>
      <c r="O9" s="114" t="s">
        <v>8</v>
      </c>
      <c r="P9" s="101">
        <v>3</v>
      </c>
      <c r="Q9" s="101">
        <v>3</v>
      </c>
      <c r="R9" s="101">
        <v>3</v>
      </c>
      <c r="S9" s="24">
        <f t="shared" ref="S9" si="1">AVERAGE(P9:R9)</f>
        <v>3</v>
      </c>
      <c r="T9" s="114" t="s">
        <v>8</v>
      </c>
      <c r="U9" s="114" t="s">
        <v>8</v>
      </c>
      <c r="V9" s="150" t="s">
        <v>347</v>
      </c>
      <c r="W9" s="108">
        <v>45696</v>
      </c>
      <c r="X9" s="20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52" s="8" customFormat="1" ht="12" customHeight="1">
      <c r="A10" s="44"/>
      <c r="B10" s="76"/>
      <c r="C10" s="77"/>
      <c r="D10" s="77"/>
      <c r="E10" s="78"/>
      <c r="F10" s="79"/>
      <c r="G10" s="80"/>
      <c r="H10" s="73"/>
      <c r="I10" s="73"/>
      <c r="J10" s="73"/>
      <c r="K10" s="73"/>
      <c r="L10" s="73"/>
      <c r="M10" s="73"/>
      <c r="N10" s="1"/>
      <c r="O10" s="1"/>
      <c r="P10" s="73"/>
      <c r="Q10" s="73"/>
      <c r="R10" s="73"/>
      <c r="S10" s="1"/>
      <c r="T10" s="13"/>
      <c r="U10" s="13"/>
      <c r="V10" s="13"/>
      <c r="W10" s="13"/>
      <c r="X10" s="13"/>
      <c r="Y10" s="13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52" s="70" customFormat="1" ht="24.75" customHeight="1">
      <c r="A11" s="156" t="s">
        <v>86</v>
      </c>
      <c r="B11" s="178"/>
      <c r="C11" s="178"/>
      <c r="D11" s="178"/>
      <c r="E11" s="178"/>
      <c r="F11" s="178"/>
      <c r="G11" s="179"/>
      <c r="H11" s="40"/>
      <c r="I11" s="40"/>
      <c r="J11" s="40"/>
      <c r="K11" s="40"/>
      <c r="L11" s="2"/>
      <c r="M11" s="1"/>
      <c r="N11" s="1"/>
      <c r="O11" s="1"/>
      <c r="P11" s="1"/>
      <c r="Q11" s="1"/>
      <c r="R11" s="1"/>
      <c r="S11" s="13"/>
      <c r="T11" s="13"/>
      <c r="U11" s="13"/>
      <c r="V11" s="13"/>
      <c r="W11" s="13"/>
      <c r="X11" s="13"/>
      <c r="Y11" s="13"/>
      <c r="Z11" s="54"/>
      <c r="AA11" s="54"/>
      <c r="AB11" s="13"/>
      <c r="AC11" s="13"/>
      <c r="AD11" s="68"/>
      <c r="AE11" s="68"/>
      <c r="AF11" s="68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s="70" customFormat="1" ht="24.75" customHeight="1">
      <c r="A12" s="155" t="s">
        <v>9</v>
      </c>
      <c r="B12" s="155"/>
      <c r="C12" s="156"/>
      <c r="D12" s="155" t="s">
        <v>12</v>
      </c>
      <c r="E12" s="155"/>
      <c r="F12" s="155"/>
      <c r="G12" s="155"/>
      <c r="H12" s="40"/>
      <c r="I12" s="40"/>
      <c r="J12" s="40"/>
      <c r="K12" s="40"/>
      <c r="L12" s="2"/>
      <c r="S12" s="13"/>
      <c r="T12" s="13"/>
      <c r="U12" s="13"/>
      <c r="V12" s="7"/>
      <c r="W12" s="7"/>
      <c r="X12" s="13"/>
      <c r="Y12" s="54"/>
      <c r="Z12" s="54"/>
      <c r="AA12" s="54"/>
      <c r="AB12" s="13"/>
      <c r="AC12" s="13"/>
      <c r="AD12" s="68"/>
      <c r="AE12" s="68"/>
      <c r="AF12" s="68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s="70" customFormat="1" ht="29.25" customHeight="1">
      <c r="A13" s="183" t="s">
        <v>2</v>
      </c>
      <c r="B13" s="183"/>
      <c r="C13" s="65" t="s">
        <v>37</v>
      </c>
      <c r="D13" s="28" t="s">
        <v>8</v>
      </c>
      <c r="E13" s="181" t="s">
        <v>40</v>
      </c>
      <c r="F13" s="181"/>
      <c r="G13" s="181"/>
      <c r="H13" s="40"/>
      <c r="I13" s="40"/>
      <c r="J13" s="40"/>
      <c r="K13" s="40"/>
      <c r="L13" s="2"/>
      <c r="M13" s="39"/>
      <c r="N13" s="39"/>
      <c r="O13" s="39"/>
      <c r="P13" s="39"/>
      <c r="Q13" s="39"/>
      <c r="R13" s="39"/>
      <c r="S13" s="39"/>
      <c r="T13" s="39"/>
      <c r="U13" s="13"/>
      <c r="V13" s="7"/>
      <c r="W13" s="7"/>
      <c r="X13" s="39"/>
      <c r="Y13"/>
      <c r="Z13"/>
      <c r="AA13"/>
      <c r="AB13" s="13"/>
      <c r="AC13" s="13"/>
      <c r="AD13" s="68"/>
      <c r="AE13" s="68"/>
      <c r="AF13" s="68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s="70" customFormat="1" ht="29.25" customHeight="1">
      <c r="A14" s="183" t="s">
        <v>3</v>
      </c>
      <c r="B14" s="183"/>
      <c r="C14" s="66" t="s">
        <v>38</v>
      </c>
      <c r="D14" s="28" t="s">
        <v>10</v>
      </c>
      <c r="E14" s="181" t="s">
        <v>13</v>
      </c>
      <c r="F14" s="181"/>
      <c r="G14" s="181"/>
      <c r="H14" s="40"/>
      <c r="I14" s="40"/>
      <c r="J14" s="40"/>
      <c r="K14" s="40"/>
      <c r="L14" s="2"/>
      <c r="M14" s="40"/>
      <c r="N14" s="40"/>
      <c r="O14" s="40"/>
      <c r="P14" s="40"/>
      <c r="Q14" s="40"/>
      <c r="R14" s="40"/>
      <c r="S14" s="40"/>
      <c r="T14" s="40"/>
      <c r="U14" s="13"/>
      <c r="V14" s="7"/>
      <c r="W14" s="7"/>
      <c r="X14" s="40"/>
      <c r="Y14"/>
      <c r="Z14"/>
      <c r="AA14"/>
      <c r="AB14" s="2"/>
      <c r="AC14" s="2"/>
      <c r="AD14" s="68"/>
      <c r="AE14" s="68"/>
      <c r="AF14" s="68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s="70" customFormat="1" ht="29.25" customHeight="1">
      <c r="A15" s="183" t="s">
        <v>4</v>
      </c>
      <c r="B15" s="183"/>
      <c r="C15" s="67" t="s">
        <v>20</v>
      </c>
      <c r="D15" s="28" t="s">
        <v>11</v>
      </c>
      <c r="E15" s="182" t="s">
        <v>14</v>
      </c>
      <c r="F15" s="182"/>
      <c r="G15" s="182"/>
      <c r="H15" s="40"/>
      <c r="I15" s="40"/>
      <c r="J15" s="40"/>
      <c r="K15" s="40"/>
      <c r="L15" s="2"/>
      <c r="M15" s="40"/>
      <c r="N15" s="40"/>
      <c r="O15" s="40"/>
      <c r="P15" s="40"/>
      <c r="Q15" s="40"/>
      <c r="R15" s="40"/>
      <c r="S15" s="40"/>
      <c r="T15" s="40"/>
      <c r="U15" s="13"/>
      <c r="V15" s="7"/>
      <c r="W15" s="7"/>
      <c r="X15" s="40"/>
      <c r="Y15"/>
      <c r="Z15"/>
      <c r="AA15"/>
      <c r="AB15" s="2"/>
      <c r="AC15" s="2"/>
      <c r="AD15" s="68"/>
      <c r="AE15" s="68"/>
      <c r="AF15" s="68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s="70" customFormat="1" ht="29.25" customHeight="1">
      <c r="A16" s="183" t="s">
        <v>5</v>
      </c>
      <c r="B16" s="183"/>
      <c r="C16" s="32" t="s">
        <v>19</v>
      </c>
      <c r="D16" s="39"/>
      <c r="E16" s="39"/>
      <c r="F16" s="39"/>
      <c r="G16" s="39"/>
      <c r="H16" s="40"/>
      <c r="I16" s="40"/>
      <c r="J16" s="40"/>
      <c r="K16" s="40"/>
      <c r="L16" s="2"/>
      <c r="M16" s="2"/>
      <c r="N16" s="2"/>
      <c r="O16" s="2"/>
      <c r="P16" s="2"/>
      <c r="Q16" s="2"/>
      <c r="R16" s="2"/>
      <c r="S16" s="2"/>
      <c r="T16" s="2"/>
      <c r="U16" s="13"/>
      <c r="V16" s="7"/>
      <c r="W16" s="7"/>
      <c r="X16" s="2"/>
      <c r="Y16"/>
      <c r="Z16"/>
      <c r="AA16"/>
      <c r="AB16" s="2"/>
      <c r="AC16" s="2"/>
      <c r="AD16" s="68"/>
      <c r="AE16" s="68"/>
      <c r="AF16" s="68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s="70" customFormat="1" ht="12.75" customHeight="1">
      <c r="A17" s="2"/>
      <c r="B17" s="2"/>
      <c r="C17" s="68"/>
      <c r="D17" s="68"/>
      <c r="E17" s="68"/>
      <c r="F17" s="68"/>
      <c r="G17" s="68"/>
      <c r="H17" s="40"/>
      <c r="I17" s="40"/>
      <c r="J17" s="40"/>
      <c r="K17" s="40"/>
      <c r="L17" s="2"/>
      <c r="M17" s="2"/>
      <c r="N17" s="2"/>
      <c r="O17" s="2"/>
      <c r="P17" s="2"/>
      <c r="Q17" s="2"/>
      <c r="R17" s="2"/>
      <c r="S17" s="2"/>
      <c r="T17" s="2"/>
      <c r="U17" s="13"/>
      <c r="V17" s="7"/>
      <c r="W17" s="7"/>
      <c r="X17" s="2"/>
      <c r="Y17"/>
      <c r="Z17"/>
      <c r="AA17"/>
      <c r="AB17" s="2"/>
      <c r="AC17" s="2"/>
      <c r="AD17" s="68"/>
      <c r="AE17" s="68"/>
      <c r="AF17" s="68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s="70" customFormat="1" ht="30.75" customHeight="1">
      <c r="A18" s="180" t="s">
        <v>6</v>
      </c>
      <c r="B18" s="180"/>
      <c r="C18" s="40"/>
      <c r="D18" s="40"/>
      <c r="E18" s="40"/>
      <c r="F18" s="40"/>
      <c r="G18" s="40"/>
      <c r="H18" s="40"/>
      <c r="I18" s="40"/>
      <c r="J18" s="40"/>
      <c r="K18" s="40"/>
      <c r="L18" s="2"/>
      <c r="M18" s="2"/>
      <c r="N18" s="2"/>
      <c r="O18" s="2"/>
      <c r="P18" s="2"/>
      <c r="Q18" s="2"/>
      <c r="R18" s="2"/>
      <c r="S18" s="2"/>
      <c r="T18" s="2"/>
      <c r="U18" s="13"/>
      <c r="V18" s="7"/>
      <c r="W18" s="7"/>
      <c r="X18" s="2"/>
      <c r="Y18"/>
      <c r="Z18"/>
      <c r="AA18"/>
      <c r="AB18" s="2"/>
      <c r="AC18" s="2"/>
      <c r="AD18" s="68"/>
      <c r="AE18" s="68"/>
      <c r="AF18" s="68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U19" s="13"/>
      <c r="V19" s="13"/>
      <c r="W19" s="68"/>
    </row>
    <row r="20" spans="1:52">
      <c r="U20" s="13"/>
      <c r="V20" s="13"/>
      <c r="W20" s="68"/>
    </row>
    <row r="21" spans="1:52">
      <c r="U21" s="13"/>
      <c r="V21" s="13"/>
      <c r="W21" s="68"/>
    </row>
    <row r="22" spans="1:52">
      <c r="U22" s="2"/>
      <c r="V22" s="2"/>
      <c r="W22" s="68"/>
    </row>
    <row r="23" spans="1:52">
      <c r="U23" s="2"/>
      <c r="V23" s="2"/>
      <c r="W23" s="68"/>
    </row>
    <row r="24" spans="1:52">
      <c r="U24" s="2"/>
      <c r="V24" s="2"/>
      <c r="W24" s="68"/>
    </row>
    <row r="25" spans="1:52">
      <c r="U25" s="2"/>
      <c r="V25" s="2"/>
      <c r="W25" s="68"/>
    </row>
    <row r="26" spans="1:52">
      <c r="U26" s="2"/>
      <c r="V26" s="2"/>
      <c r="W26" s="68"/>
    </row>
  </sheetData>
  <mergeCells count="29">
    <mergeCell ref="A16:B16"/>
    <mergeCell ref="B1:S2"/>
    <mergeCell ref="A11:G11"/>
    <mergeCell ref="A12:C12"/>
    <mergeCell ref="D12:G12"/>
    <mergeCell ref="A13:B13"/>
    <mergeCell ref="E13:G13"/>
    <mergeCell ref="F6:F7"/>
    <mergeCell ref="G6:G7"/>
    <mergeCell ref="A14:B14"/>
    <mergeCell ref="E14:G14"/>
    <mergeCell ref="A15:B15"/>
    <mergeCell ref="E15:G15"/>
    <mergeCell ref="U6:U7"/>
    <mergeCell ref="V6:W6"/>
    <mergeCell ref="A18:B18"/>
    <mergeCell ref="T1:X1"/>
    <mergeCell ref="T2:X2"/>
    <mergeCell ref="A1:A2"/>
    <mergeCell ref="X6:X7"/>
    <mergeCell ref="N6:O7"/>
    <mergeCell ref="S6:T7"/>
    <mergeCell ref="A6:A7"/>
    <mergeCell ref="P6:R6"/>
    <mergeCell ref="H6:M6"/>
    <mergeCell ref="B6:B7"/>
    <mergeCell ref="C6:C7"/>
    <mergeCell ref="D6:D7"/>
    <mergeCell ref="E6:E7"/>
  </mergeCells>
  <conditionalFormatting sqref="U10:W10 U10:U17 O8:O9 T8:W9">
    <cfRule type="cellIs" dxfId="995" priority="53" stopIfTrue="1" operator="equal">
      <formula>"C"</formula>
    </cfRule>
    <cfRule type="cellIs" dxfId="994" priority="54" stopIfTrue="1" operator="equal">
      <formula>"C"</formula>
    </cfRule>
    <cfRule type="cellIs" dxfId="993" priority="55" stopIfTrue="1" operator="equal">
      <formula>"B"</formula>
    </cfRule>
    <cfRule type="cellIs" dxfId="992" priority="56" stopIfTrue="1" operator="equal">
      <formula>"A"</formula>
    </cfRule>
  </conditionalFormatting>
  <conditionalFormatting sqref="T10:Y11 V10:W17">
    <cfRule type="cellIs" dxfId="991" priority="45" stopIfTrue="1" operator="equal">
      <formula>"C"</formula>
    </cfRule>
    <cfRule type="cellIs" dxfId="990" priority="46" stopIfTrue="1" operator="equal">
      <formula>"C"</formula>
    </cfRule>
    <cfRule type="cellIs" dxfId="989" priority="47" stopIfTrue="1" operator="equal">
      <formula>"B"</formula>
    </cfRule>
    <cfRule type="cellIs" dxfId="988" priority="48" stopIfTrue="1" operator="equal">
      <formula>"A"</formula>
    </cfRule>
  </conditionalFormatting>
  <dataValidations count="2">
    <dataValidation type="list" allowBlank="1" showInputMessage="1" showErrorMessage="1" sqref="U10 O8:O9 T8:U9">
      <formula1>"A, B, C"</formula1>
    </dataValidation>
    <dataValidation type="list" allowBlank="1" showInputMessage="1" showErrorMessage="1" sqref="H8:M10 P8:R10">
      <formula1>"0, 1, 2, 3"</formula1>
    </dataValidation>
  </dataValidations>
  <printOptions horizontalCentered="1" verticalCentered="1"/>
  <pageMargins left="0.7" right="0.7" top="0.75" bottom="0.75" header="0.3" footer="0.3"/>
  <pageSetup paperSize="9" scale="39" orientation="landscape" horizontalDpi="4294967293" r:id="rId1"/>
  <headerFooter alignWithMargins="0"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56"/>
  <sheetViews>
    <sheetView view="pageBreakPreview" topLeftCell="A25" zoomScale="80" zoomScaleNormal="106" zoomScaleSheetLayoutView="80" workbookViewId="0">
      <selection activeCell="A34" sqref="A34"/>
    </sheetView>
  </sheetViews>
  <sheetFormatPr baseColWidth="10" defaultColWidth="11.5703125" defaultRowHeight="12.75"/>
  <cols>
    <col min="1" max="1" width="12.28515625" style="9" customWidth="1"/>
    <col min="2" max="2" width="34.5703125" style="9" customWidth="1"/>
    <col min="3" max="3" width="17.5703125" customWidth="1"/>
    <col min="4" max="4" width="25.28515625" customWidth="1"/>
    <col min="5" max="5" width="23.42578125" customWidth="1"/>
    <col min="6" max="6" width="19.42578125" customWidth="1"/>
    <col min="7" max="7" width="43.5703125" customWidth="1"/>
    <col min="8" max="8" width="11.7109375" style="11" customWidth="1"/>
    <col min="9" max="9" width="12.85546875" style="11" customWidth="1"/>
    <col min="10" max="10" width="11.42578125" style="11" customWidth="1"/>
    <col min="11" max="11" width="6.85546875" style="11" customWidth="1"/>
    <col min="12" max="12" width="9.5703125" style="11" customWidth="1"/>
    <col min="13" max="13" width="11.140625" style="11" customWidth="1"/>
    <col min="14" max="15" width="9.140625" style="43" customWidth="1"/>
    <col min="16" max="16" width="11" style="11" customWidth="1"/>
    <col min="17" max="17" width="9.28515625" style="11" customWidth="1"/>
    <col min="18" max="18" width="9.5703125" style="11" customWidth="1"/>
    <col min="19" max="19" width="10" style="11" customWidth="1"/>
    <col min="20" max="20" width="10.5703125" style="11" customWidth="1"/>
    <col min="21" max="21" width="16.7109375" style="11" customWidth="1"/>
    <col min="22" max="22" width="8.28515625" style="43" customWidth="1"/>
    <col min="23" max="23" width="6.140625" style="10" customWidth="1"/>
    <col min="24" max="24" width="7.85546875" customWidth="1"/>
    <col min="25" max="26" width="11.42578125" customWidth="1"/>
    <col min="27" max="27" width="16" style="10" customWidth="1"/>
    <col min="28" max="31" width="11.5703125" style="10"/>
    <col min="32" max="46" width="11.5703125" style="11"/>
    <col min="47" max="16384" width="11.5703125" style="12"/>
  </cols>
  <sheetData>
    <row r="1" spans="1:46" customFormat="1" ht="24.75" customHeight="1">
      <c r="A1" s="210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  <c r="W1" s="157" t="s">
        <v>21</v>
      </c>
      <c r="X1" s="158"/>
      <c r="Y1" s="158"/>
      <c r="Z1" s="158"/>
      <c r="AA1" s="159"/>
    </row>
    <row r="2" spans="1:46" customFormat="1" ht="27" customHeight="1">
      <c r="A2" s="211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57">
        <v>3</v>
      </c>
      <c r="X2" s="158"/>
      <c r="Y2" s="158"/>
      <c r="Z2" s="158"/>
      <c r="AA2" s="159"/>
    </row>
    <row r="3" spans="1:46" customFormat="1" ht="15.75" customHeight="1">
      <c r="A3" s="132"/>
      <c r="B3" s="31"/>
      <c r="C3" s="42"/>
      <c r="D3" s="42"/>
      <c r="E3" s="42"/>
      <c r="F3" s="42"/>
      <c r="G3" s="42"/>
      <c r="H3" s="133"/>
      <c r="I3" s="133"/>
      <c r="J3" s="134"/>
      <c r="K3" s="134"/>
      <c r="L3" s="134"/>
      <c r="M3" s="134"/>
      <c r="N3" s="138"/>
      <c r="O3" s="138"/>
      <c r="P3" s="134"/>
      <c r="Q3" s="135"/>
      <c r="R3" s="136"/>
      <c r="S3" s="136"/>
      <c r="T3" s="136"/>
      <c r="U3" s="136"/>
      <c r="V3" s="59"/>
      <c r="W3" s="15"/>
      <c r="X3" s="42"/>
      <c r="Y3" s="50"/>
      <c r="Z3" s="50"/>
      <c r="AA3" s="14"/>
      <c r="AD3" s="2"/>
    </row>
    <row r="4" spans="1:46" customFormat="1" ht="25.5" customHeight="1">
      <c r="A4" s="74" t="s">
        <v>15</v>
      </c>
      <c r="B4" s="53" t="s">
        <v>87</v>
      </c>
      <c r="C4" s="75" t="s">
        <v>16</v>
      </c>
      <c r="D4" s="130">
        <v>45917</v>
      </c>
      <c r="E4" s="17"/>
      <c r="F4" s="17"/>
      <c r="G4" s="17"/>
      <c r="H4" s="134"/>
      <c r="I4" s="134"/>
      <c r="J4" s="134"/>
      <c r="K4" s="134"/>
      <c r="L4" s="134"/>
      <c r="M4" s="134"/>
      <c r="N4" s="138"/>
      <c r="O4" s="138"/>
      <c r="P4" s="134"/>
      <c r="Q4" s="135"/>
      <c r="R4" s="136"/>
      <c r="S4" s="136"/>
      <c r="T4" s="136"/>
      <c r="U4" s="136"/>
      <c r="V4" s="59"/>
      <c r="W4" s="15"/>
      <c r="X4" s="17"/>
      <c r="Y4" s="46"/>
      <c r="Z4" s="46"/>
      <c r="AA4" s="14"/>
      <c r="AD4" s="2"/>
    </row>
    <row r="5" spans="1:46" s="4" customFormat="1">
      <c r="A5" s="35"/>
      <c r="B5" s="35"/>
      <c r="C5"/>
      <c r="D5"/>
      <c r="E5"/>
      <c r="F5"/>
      <c r="G5"/>
      <c r="H5" s="132"/>
      <c r="I5" s="132"/>
      <c r="J5" s="132"/>
      <c r="K5" s="132"/>
      <c r="L5" s="132"/>
      <c r="M5" s="132"/>
      <c r="N5" s="60"/>
      <c r="O5" s="60"/>
      <c r="P5" s="132"/>
      <c r="Q5" s="132"/>
      <c r="R5" s="132"/>
      <c r="S5" s="132"/>
      <c r="T5" s="132"/>
      <c r="U5" s="132"/>
      <c r="V5" s="60"/>
      <c r="W5" s="1"/>
      <c r="X5"/>
      <c r="Y5"/>
      <c r="Z5"/>
      <c r="AA5" s="2"/>
      <c r="AB5" s="2"/>
      <c r="AC5" s="2"/>
      <c r="AD5" s="2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s="6" customFormat="1" ht="18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0"/>
      <c r="M6" s="171"/>
      <c r="N6" s="164" t="s">
        <v>17</v>
      </c>
      <c r="O6" s="165"/>
      <c r="P6" s="169" t="s">
        <v>1</v>
      </c>
      <c r="Q6" s="170"/>
      <c r="R6" s="170"/>
      <c r="S6" s="170"/>
      <c r="T6" s="170"/>
      <c r="U6" s="171"/>
      <c r="V6" s="164" t="s">
        <v>7</v>
      </c>
      <c r="W6" s="165"/>
      <c r="X6" s="168" t="s">
        <v>85</v>
      </c>
      <c r="Y6" s="161" t="s">
        <v>82</v>
      </c>
      <c r="Z6" s="162"/>
      <c r="AA6" s="168" t="s">
        <v>18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 s="8" customFormat="1" ht="110.25" customHeight="1">
      <c r="A7" s="168"/>
      <c r="B7" s="168"/>
      <c r="C7" s="168"/>
      <c r="D7" s="168"/>
      <c r="E7" s="168"/>
      <c r="F7" s="168"/>
      <c r="G7" s="168"/>
      <c r="H7" s="53" t="s">
        <v>23</v>
      </c>
      <c r="I7" s="53" t="s">
        <v>74</v>
      </c>
      <c r="J7" s="53" t="s">
        <v>26</v>
      </c>
      <c r="K7" s="53" t="s">
        <v>27</v>
      </c>
      <c r="L7" s="53" t="s">
        <v>28</v>
      </c>
      <c r="M7" s="53" t="s">
        <v>30</v>
      </c>
      <c r="N7" s="166"/>
      <c r="O7" s="167"/>
      <c r="P7" s="53" t="s">
        <v>71</v>
      </c>
      <c r="Q7" s="53" t="s">
        <v>31</v>
      </c>
      <c r="R7" s="53" t="s">
        <v>66</v>
      </c>
      <c r="S7" s="53" t="s">
        <v>33</v>
      </c>
      <c r="T7" s="53" t="s">
        <v>34</v>
      </c>
      <c r="U7" s="53" t="s">
        <v>36</v>
      </c>
      <c r="V7" s="166"/>
      <c r="W7" s="167"/>
      <c r="X7" s="168"/>
      <c r="Y7" s="53" t="s">
        <v>83</v>
      </c>
      <c r="Z7" s="53" t="s">
        <v>84</v>
      </c>
      <c r="AA7" s="168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s="8" customFormat="1" ht="24" customHeight="1">
      <c r="A8" s="156" t="s">
        <v>73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9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s="41" customFormat="1" ht="28.5" customHeight="1">
      <c r="A9" s="93" t="s">
        <v>222</v>
      </c>
      <c r="B9" s="84" t="s">
        <v>223</v>
      </c>
      <c r="C9" s="45"/>
      <c r="D9" s="45" t="s">
        <v>224</v>
      </c>
      <c r="E9" s="47" t="s">
        <v>225</v>
      </c>
      <c r="F9" s="85">
        <v>98638885</v>
      </c>
      <c r="G9" s="113" t="s">
        <v>226</v>
      </c>
      <c r="H9" s="51">
        <v>3</v>
      </c>
      <c r="I9" s="51">
        <v>3</v>
      </c>
      <c r="J9" s="51">
        <v>3</v>
      </c>
      <c r="K9" s="51">
        <v>2</v>
      </c>
      <c r="L9" s="51">
        <v>3</v>
      </c>
      <c r="M9" s="51">
        <v>2</v>
      </c>
      <c r="N9" s="24">
        <f t="shared" ref="N9:N12" si="0">AVERAGE(H9:M9)</f>
        <v>2.6666666666666665</v>
      </c>
      <c r="O9" s="114" t="s">
        <v>8</v>
      </c>
      <c r="P9" s="51">
        <v>3</v>
      </c>
      <c r="Q9" s="51">
        <v>3</v>
      </c>
      <c r="R9" s="51">
        <v>3</v>
      </c>
      <c r="S9" s="51">
        <v>3</v>
      </c>
      <c r="T9" s="51">
        <v>3</v>
      </c>
      <c r="U9" s="51">
        <v>3</v>
      </c>
      <c r="V9" s="24">
        <f t="shared" ref="V9:V12" si="1">AVERAGE(P9:U9)</f>
        <v>3</v>
      </c>
      <c r="W9" s="114" t="s">
        <v>8</v>
      </c>
      <c r="X9" s="105" t="s">
        <v>8</v>
      </c>
      <c r="Y9" s="150" t="s">
        <v>347</v>
      </c>
      <c r="Z9" s="108">
        <v>45696</v>
      </c>
      <c r="AA9" s="105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</row>
    <row r="10" spans="1:46" s="41" customFormat="1" ht="55.5" customHeight="1">
      <c r="A10" s="93" t="s">
        <v>227</v>
      </c>
      <c r="B10" s="84" t="s">
        <v>228</v>
      </c>
      <c r="C10" s="45" t="s">
        <v>229</v>
      </c>
      <c r="D10" s="45" t="s">
        <v>230</v>
      </c>
      <c r="E10" s="45" t="s">
        <v>231</v>
      </c>
      <c r="F10" s="86">
        <v>93309362</v>
      </c>
      <c r="G10" s="113" t="s">
        <v>232</v>
      </c>
      <c r="H10" s="51">
        <v>3</v>
      </c>
      <c r="I10" s="51">
        <v>3</v>
      </c>
      <c r="J10" s="51">
        <v>3</v>
      </c>
      <c r="K10" s="51">
        <v>2</v>
      </c>
      <c r="L10" s="51">
        <v>3</v>
      </c>
      <c r="M10" s="51">
        <v>2</v>
      </c>
      <c r="N10" s="24">
        <f t="shared" si="0"/>
        <v>2.6666666666666665</v>
      </c>
      <c r="O10" s="114" t="s">
        <v>8</v>
      </c>
      <c r="P10" s="51">
        <v>3</v>
      </c>
      <c r="Q10" s="51">
        <v>3</v>
      </c>
      <c r="R10" s="51">
        <v>3</v>
      </c>
      <c r="S10" s="51">
        <v>2</v>
      </c>
      <c r="T10" s="51">
        <v>3</v>
      </c>
      <c r="U10" s="51">
        <v>0</v>
      </c>
      <c r="V10" s="24">
        <f t="shared" si="1"/>
        <v>2.3333333333333335</v>
      </c>
      <c r="W10" s="114" t="s">
        <v>8</v>
      </c>
      <c r="X10" s="105" t="s">
        <v>8</v>
      </c>
      <c r="Y10" s="150" t="s">
        <v>347</v>
      </c>
      <c r="Z10" s="108">
        <v>45696</v>
      </c>
      <c r="AA10" s="105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</row>
    <row r="11" spans="1:46" s="41" customFormat="1" ht="46.5" customHeight="1">
      <c r="A11" s="93" t="s">
        <v>233</v>
      </c>
      <c r="B11" s="84" t="s">
        <v>234</v>
      </c>
      <c r="C11" s="45" t="s">
        <v>235</v>
      </c>
      <c r="D11" s="45" t="s">
        <v>236</v>
      </c>
      <c r="E11" s="47" t="s">
        <v>237</v>
      </c>
      <c r="F11" s="86">
        <v>71860711</v>
      </c>
      <c r="G11" s="113" t="s">
        <v>238</v>
      </c>
      <c r="H11" s="51">
        <v>3</v>
      </c>
      <c r="I11" s="51">
        <v>3</v>
      </c>
      <c r="J11" s="51">
        <v>3</v>
      </c>
      <c r="K11" s="51">
        <v>2</v>
      </c>
      <c r="L11" s="51">
        <v>3</v>
      </c>
      <c r="M11" s="51">
        <v>2</v>
      </c>
      <c r="N11" s="24">
        <f t="shared" si="0"/>
        <v>2.6666666666666665</v>
      </c>
      <c r="O11" s="114" t="s">
        <v>8</v>
      </c>
      <c r="P11" s="51">
        <v>3</v>
      </c>
      <c r="Q11" s="51">
        <v>3</v>
      </c>
      <c r="R11" s="51">
        <v>3</v>
      </c>
      <c r="S11" s="51">
        <v>3</v>
      </c>
      <c r="T11" s="51">
        <v>0</v>
      </c>
      <c r="U11" s="51">
        <v>0</v>
      </c>
      <c r="V11" s="24">
        <f t="shared" si="1"/>
        <v>2</v>
      </c>
      <c r="W11" s="114" t="s">
        <v>10</v>
      </c>
      <c r="X11" s="105" t="s">
        <v>8</v>
      </c>
      <c r="Y11" s="150" t="s">
        <v>347</v>
      </c>
      <c r="Z11" s="108">
        <v>45696</v>
      </c>
      <c r="AA11" s="105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</row>
    <row r="12" spans="1:46" s="41" customFormat="1" ht="58.5" customHeight="1">
      <c r="A12" s="37" t="s">
        <v>377</v>
      </c>
      <c r="B12" s="84" t="s">
        <v>349</v>
      </c>
      <c r="C12" s="45"/>
      <c r="D12" s="45"/>
      <c r="E12" s="47" t="s">
        <v>350</v>
      </c>
      <c r="F12" s="86" t="s">
        <v>352</v>
      </c>
      <c r="G12" s="124" t="s">
        <v>351</v>
      </c>
      <c r="H12" s="51">
        <v>2</v>
      </c>
      <c r="I12" s="51">
        <v>3</v>
      </c>
      <c r="J12" s="51">
        <v>2</v>
      </c>
      <c r="K12" s="51">
        <v>2</v>
      </c>
      <c r="L12" s="51">
        <v>3</v>
      </c>
      <c r="M12" s="51">
        <v>2</v>
      </c>
      <c r="N12" s="24">
        <f t="shared" si="0"/>
        <v>2.3333333333333335</v>
      </c>
      <c r="O12" s="147" t="s">
        <v>8</v>
      </c>
      <c r="P12" s="51">
        <v>3</v>
      </c>
      <c r="Q12" s="51">
        <v>3</v>
      </c>
      <c r="R12" s="51">
        <v>3</v>
      </c>
      <c r="S12" s="51">
        <v>2</v>
      </c>
      <c r="T12" s="51">
        <v>3</v>
      </c>
      <c r="U12" s="51">
        <v>0</v>
      </c>
      <c r="V12" s="24">
        <f t="shared" si="1"/>
        <v>2.3333333333333335</v>
      </c>
      <c r="W12" s="147" t="s">
        <v>8</v>
      </c>
      <c r="X12" s="105" t="s">
        <v>8</v>
      </c>
      <c r="Y12" s="150" t="s">
        <v>347</v>
      </c>
      <c r="Z12" s="108">
        <v>45696</v>
      </c>
      <c r="AA12" s="105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</row>
    <row r="13" spans="1:46" s="41" customFormat="1" ht="24.6" customHeight="1">
      <c r="A13" s="208" t="s">
        <v>59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12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</row>
    <row r="14" spans="1:46" s="41" customFormat="1" ht="39.75" customHeight="1">
      <c r="A14" s="93" t="s">
        <v>239</v>
      </c>
      <c r="B14" s="84" t="s">
        <v>240</v>
      </c>
      <c r="C14" s="45"/>
      <c r="D14" s="45" t="s">
        <v>132</v>
      </c>
      <c r="E14" s="47" t="s">
        <v>241</v>
      </c>
      <c r="F14" s="85">
        <v>72285193</v>
      </c>
      <c r="G14" s="109"/>
      <c r="H14" s="51">
        <v>2</v>
      </c>
      <c r="I14" s="51">
        <v>2</v>
      </c>
      <c r="J14" s="51">
        <v>2</v>
      </c>
      <c r="K14" s="51">
        <v>2</v>
      </c>
      <c r="L14" s="51">
        <v>2</v>
      </c>
      <c r="M14" s="51">
        <v>3</v>
      </c>
      <c r="N14" s="24">
        <f t="shared" ref="N14:N18" si="2">AVERAGE(H14:M14)</f>
        <v>2.1666666666666665</v>
      </c>
      <c r="O14" s="114" t="s">
        <v>10</v>
      </c>
      <c r="P14" s="51">
        <v>3</v>
      </c>
      <c r="Q14" s="51">
        <v>3</v>
      </c>
      <c r="R14" s="51">
        <v>3</v>
      </c>
      <c r="S14" s="51">
        <v>3</v>
      </c>
      <c r="T14" s="51">
        <v>3</v>
      </c>
      <c r="U14" s="51">
        <v>3</v>
      </c>
      <c r="V14" s="24">
        <f t="shared" ref="V14:V18" si="3">AVERAGE(P14:U14)</f>
        <v>3</v>
      </c>
      <c r="W14" s="114" t="s">
        <v>8</v>
      </c>
      <c r="X14" s="105" t="s">
        <v>11</v>
      </c>
      <c r="Y14" s="105"/>
      <c r="Z14" s="105"/>
      <c r="AA14" s="105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</row>
    <row r="15" spans="1:46" s="41" customFormat="1" ht="39.75" customHeight="1">
      <c r="A15" s="37" t="s">
        <v>378</v>
      </c>
      <c r="B15" s="84" t="s">
        <v>363</v>
      </c>
      <c r="C15" s="45"/>
      <c r="D15" s="45" t="s">
        <v>132</v>
      </c>
      <c r="E15" s="47"/>
      <c r="F15" s="86"/>
      <c r="G15" s="109"/>
      <c r="H15" s="51">
        <v>3</v>
      </c>
      <c r="I15" s="51">
        <v>3</v>
      </c>
      <c r="J15" s="51">
        <v>3</v>
      </c>
      <c r="K15" s="51">
        <v>3</v>
      </c>
      <c r="L15" s="51">
        <v>3</v>
      </c>
      <c r="M15" s="51">
        <v>3</v>
      </c>
      <c r="N15" s="24">
        <f t="shared" si="2"/>
        <v>3</v>
      </c>
      <c r="O15" s="151" t="s">
        <v>8</v>
      </c>
      <c r="P15" s="51">
        <v>3</v>
      </c>
      <c r="Q15" s="51">
        <v>3</v>
      </c>
      <c r="R15" s="51">
        <v>3</v>
      </c>
      <c r="S15" s="51">
        <v>3</v>
      </c>
      <c r="T15" s="51">
        <v>3</v>
      </c>
      <c r="U15" s="51">
        <v>3</v>
      </c>
      <c r="V15" s="24">
        <f t="shared" si="3"/>
        <v>3</v>
      </c>
      <c r="W15" s="151" t="s">
        <v>8</v>
      </c>
      <c r="X15" s="105" t="s">
        <v>8</v>
      </c>
      <c r="Y15" s="150" t="s">
        <v>347</v>
      </c>
      <c r="Z15" s="108">
        <v>45696</v>
      </c>
      <c r="AA15" s="105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</row>
    <row r="16" spans="1:46" s="41" customFormat="1" ht="39.75" customHeight="1">
      <c r="A16" s="37" t="s">
        <v>379</v>
      </c>
      <c r="B16" s="84" t="s">
        <v>364</v>
      </c>
      <c r="C16" s="45"/>
      <c r="D16" s="45" t="s">
        <v>132</v>
      </c>
      <c r="E16" s="47"/>
      <c r="F16" s="86"/>
      <c r="G16" s="109"/>
      <c r="H16" s="51">
        <v>3</v>
      </c>
      <c r="I16" s="51">
        <v>3</v>
      </c>
      <c r="J16" s="51">
        <v>3</v>
      </c>
      <c r="K16" s="51">
        <v>3</v>
      </c>
      <c r="L16" s="51">
        <v>3</v>
      </c>
      <c r="M16" s="51">
        <v>3</v>
      </c>
      <c r="N16" s="24">
        <f t="shared" ref="N16" si="4">AVERAGE(H16:M16)</f>
        <v>3</v>
      </c>
      <c r="O16" s="151" t="s">
        <v>8</v>
      </c>
      <c r="P16" s="51">
        <v>3</v>
      </c>
      <c r="Q16" s="51">
        <v>3</v>
      </c>
      <c r="R16" s="51">
        <v>3</v>
      </c>
      <c r="S16" s="51">
        <v>3</v>
      </c>
      <c r="T16" s="51">
        <v>3</v>
      </c>
      <c r="U16" s="51">
        <v>3</v>
      </c>
      <c r="V16" s="24">
        <f t="shared" ref="V16" si="5">AVERAGE(P16:U16)</f>
        <v>3</v>
      </c>
      <c r="W16" s="151" t="s">
        <v>8</v>
      </c>
      <c r="X16" s="105" t="s">
        <v>8</v>
      </c>
      <c r="Y16" s="150" t="s">
        <v>347</v>
      </c>
      <c r="Z16" s="108">
        <v>45696</v>
      </c>
      <c r="AA16" s="105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</row>
    <row r="17" spans="1:46" s="41" customFormat="1" ht="39.75" customHeight="1">
      <c r="A17" s="37" t="s">
        <v>380</v>
      </c>
      <c r="B17" s="84" t="s">
        <v>353</v>
      </c>
      <c r="C17" s="45"/>
      <c r="D17" s="45" t="s">
        <v>354</v>
      </c>
      <c r="E17" s="47"/>
      <c r="F17" s="86"/>
      <c r="G17" s="109"/>
      <c r="H17" s="51">
        <v>3</v>
      </c>
      <c r="I17" s="51">
        <v>3</v>
      </c>
      <c r="J17" s="51">
        <v>3</v>
      </c>
      <c r="K17" s="51">
        <v>3</v>
      </c>
      <c r="L17" s="51">
        <v>3</v>
      </c>
      <c r="M17" s="51">
        <v>3</v>
      </c>
      <c r="N17" s="24">
        <f t="shared" ref="N17" si="6">AVERAGE(H17:M17)</f>
        <v>3</v>
      </c>
      <c r="O17" s="151" t="s">
        <v>8</v>
      </c>
      <c r="P17" s="51">
        <v>3</v>
      </c>
      <c r="Q17" s="51">
        <v>3</v>
      </c>
      <c r="R17" s="51">
        <v>3</v>
      </c>
      <c r="S17" s="51">
        <v>3</v>
      </c>
      <c r="T17" s="51">
        <v>3</v>
      </c>
      <c r="U17" s="51">
        <v>3</v>
      </c>
      <c r="V17" s="24">
        <f t="shared" ref="V17" si="7">AVERAGE(P17:U17)</f>
        <v>3</v>
      </c>
      <c r="W17" s="151" t="s">
        <v>8</v>
      </c>
      <c r="X17" s="105" t="s">
        <v>8</v>
      </c>
      <c r="Y17" s="150" t="s">
        <v>347</v>
      </c>
      <c r="Z17" s="108">
        <v>45696</v>
      </c>
      <c r="AA17" s="105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</row>
    <row r="18" spans="1:46" s="41" customFormat="1" ht="39.75" customHeight="1">
      <c r="A18" s="37" t="s">
        <v>381</v>
      </c>
      <c r="B18" s="84" t="s">
        <v>361</v>
      </c>
      <c r="C18" s="45"/>
      <c r="D18" s="45" t="s">
        <v>362</v>
      </c>
      <c r="E18" s="47"/>
      <c r="F18" s="86"/>
      <c r="G18" s="109"/>
      <c r="H18" s="51">
        <v>3</v>
      </c>
      <c r="I18" s="51">
        <v>3</v>
      </c>
      <c r="J18" s="51">
        <v>3</v>
      </c>
      <c r="K18" s="51">
        <v>3</v>
      </c>
      <c r="L18" s="51">
        <v>3</v>
      </c>
      <c r="M18" s="51">
        <v>3</v>
      </c>
      <c r="N18" s="24">
        <f t="shared" si="2"/>
        <v>3</v>
      </c>
      <c r="O18" s="147" t="s">
        <v>8</v>
      </c>
      <c r="P18" s="51">
        <v>3</v>
      </c>
      <c r="Q18" s="51">
        <v>3</v>
      </c>
      <c r="R18" s="51">
        <v>3</v>
      </c>
      <c r="S18" s="51">
        <v>3</v>
      </c>
      <c r="T18" s="51">
        <v>3</v>
      </c>
      <c r="U18" s="51">
        <v>3</v>
      </c>
      <c r="V18" s="24">
        <f t="shared" si="3"/>
        <v>3</v>
      </c>
      <c r="W18" s="147" t="s">
        <v>8</v>
      </c>
      <c r="X18" s="105" t="s">
        <v>8</v>
      </c>
      <c r="Y18" s="150" t="s">
        <v>347</v>
      </c>
      <c r="Z18" s="108">
        <v>45696</v>
      </c>
      <c r="AA18" s="105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</row>
    <row r="19" spans="1:46" s="41" customFormat="1" ht="21.95" customHeight="1">
      <c r="A19" s="208" t="s">
        <v>42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12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</row>
    <row r="20" spans="1:46" s="41" customFormat="1" ht="28.5" customHeight="1">
      <c r="A20" s="93" t="s">
        <v>242</v>
      </c>
      <c r="B20" s="84" t="s">
        <v>243</v>
      </c>
      <c r="C20" s="45"/>
      <c r="D20" s="45" t="s">
        <v>132</v>
      </c>
      <c r="E20" s="47" t="s">
        <v>244</v>
      </c>
      <c r="F20" s="86">
        <v>98342333</v>
      </c>
      <c r="G20" s="47"/>
      <c r="H20" s="51">
        <v>2</v>
      </c>
      <c r="I20" s="51">
        <v>2</v>
      </c>
      <c r="J20" s="51">
        <v>2</v>
      </c>
      <c r="K20" s="51">
        <v>2</v>
      </c>
      <c r="L20" s="51">
        <v>2</v>
      </c>
      <c r="M20" s="51">
        <v>3</v>
      </c>
      <c r="N20" s="24">
        <f>AVERAGE(H20:M20)</f>
        <v>2.1666666666666665</v>
      </c>
      <c r="O20" s="114" t="s">
        <v>8</v>
      </c>
      <c r="P20" s="51">
        <v>2</v>
      </c>
      <c r="Q20" s="51">
        <v>2</v>
      </c>
      <c r="R20" s="51">
        <v>2</v>
      </c>
      <c r="S20" s="51">
        <v>1</v>
      </c>
      <c r="T20" s="51">
        <v>0</v>
      </c>
      <c r="U20" s="51">
        <v>0</v>
      </c>
      <c r="V20" s="24">
        <f>AVERAGE(P20:U20)</f>
        <v>1.1666666666666667</v>
      </c>
      <c r="W20" s="114" t="s">
        <v>10</v>
      </c>
      <c r="X20" s="105" t="s">
        <v>10</v>
      </c>
      <c r="Y20" s="150" t="s">
        <v>347</v>
      </c>
      <c r="Z20" s="108">
        <v>45696</v>
      </c>
      <c r="AA20" s="105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</row>
    <row r="21" spans="1:46" s="41" customFormat="1" ht="21.95" customHeight="1">
      <c r="A21" s="208" t="s">
        <v>60</v>
      </c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12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</row>
    <row r="22" spans="1:46" s="41" customFormat="1" ht="28.5" customHeight="1">
      <c r="A22" s="93" t="s">
        <v>245</v>
      </c>
      <c r="B22" s="84" t="s">
        <v>246</v>
      </c>
      <c r="C22" s="45" t="s">
        <v>247</v>
      </c>
      <c r="D22" s="45" t="s">
        <v>135</v>
      </c>
      <c r="E22" s="47"/>
      <c r="F22" s="85">
        <v>71960606</v>
      </c>
      <c r="G22" s="49"/>
      <c r="H22" s="51">
        <v>3</v>
      </c>
      <c r="I22" s="51">
        <v>3</v>
      </c>
      <c r="J22" s="51">
        <v>3</v>
      </c>
      <c r="K22" s="51">
        <v>3</v>
      </c>
      <c r="L22" s="51">
        <v>3</v>
      </c>
      <c r="M22" s="51">
        <v>3</v>
      </c>
      <c r="N22" s="24">
        <f>AVERAGE(H22:M22)</f>
        <v>3</v>
      </c>
      <c r="O22" s="114" t="s">
        <v>8</v>
      </c>
      <c r="P22" s="51">
        <v>3</v>
      </c>
      <c r="Q22" s="51">
        <v>3</v>
      </c>
      <c r="R22" s="51">
        <v>3</v>
      </c>
      <c r="S22" s="51">
        <v>2</v>
      </c>
      <c r="T22" s="51">
        <v>0</v>
      </c>
      <c r="U22" s="51">
        <v>0</v>
      </c>
      <c r="V22" s="24">
        <f>AVERAGE(P22:U22)</f>
        <v>1.8333333333333333</v>
      </c>
      <c r="W22" s="114" t="s">
        <v>10</v>
      </c>
      <c r="X22" s="105" t="s">
        <v>10</v>
      </c>
      <c r="Y22" s="150" t="s">
        <v>347</v>
      </c>
      <c r="Z22" s="108">
        <v>45696</v>
      </c>
      <c r="AA22" s="105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</row>
    <row r="23" spans="1:46" s="41" customFormat="1" ht="21.95" customHeight="1">
      <c r="A23" s="208" t="s">
        <v>54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12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</row>
    <row r="24" spans="1:46" s="41" customFormat="1" ht="28.5" customHeight="1">
      <c r="A24" s="93" t="s">
        <v>248</v>
      </c>
      <c r="B24" s="84" t="s">
        <v>249</v>
      </c>
      <c r="C24" s="45"/>
      <c r="D24" s="45" t="s">
        <v>250</v>
      </c>
      <c r="E24" s="47" t="s">
        <v>251</v>
      </c>
      <c r="F24" s="86" t="s">
        <v>252</v>
      </c>
      <c r="G24" s="113" t="s">
        <v>253</v>
      </c>
      <c r="H24" s="51">
        <v>3</v>
      </c>
      <c r="I24" s="51">
        <v>3</v>
      </c>
      <c r="J24" s="51">
        <v>2</v>
      </c>
      <c r="K24" s="51">
        <v>3</v>
      </c>
      <c r="L24" s="51">
        <v>3</v>
      </c>
      <c r="M24" s="51">
        <v>3</v>
      </c>
      <c r="N24" s="24">
        <f t="shared" ref="N24:N26" si="8">AVERAGE(H24:M24)</f>
        <v>2.8333333333333335</v>
      </c>
      <c r="O24" s="114" t="s">
        <v>8</v>
      </c>
      <c r="P24" s="51">
        <v>3</v>
      </c>
      <c r="Q24" s="51">
        <v>3</v>
      </c>
      <c r="R24" s="51">
        <v>3</v>
      </c>
      <c r="S24" s="51">
        <v>2</v>
      </c>
      <c r="T24" s="51">
        <v>0</v>
      </c>
      <c r="U24" s="51">
        <v>0</v>
      </c>
      <c r="V24" s="24">
        <f t="shared" ref="V24:V26" si="9">AVERAGE(P24:U24)</f>
        <v>1.8333333333333333</v>
      </c>
      <c r="W24" s="114" t="s">
        <v>10</v>
      </c>
      <c r="X24" s="105" t="s">
        <v>8</v>
      </c>
      <c r="Y24" s="150" t="s">
        <v>347</v>
      </c>
      <c r="Z24" s="108">
        <v>45696</v>
      </c>
      <c r="AA24" s="105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</row>
    <row r="25" spans="1:46" s="41" customFormat="1" ht="28.5" customHeight="1">
      <c r="A25" s="93" t="s">
        <v>254</v>
      </c>
      <c r="B25" s="84" t="s">
        <v>255</v>
      </c>
      <c r="C25" s="45"/>
      <c r="D25" s="45" t="s">
        <v>256</v>
      </c>
      <c r="E25" s="45" t="s">
        <v>257</v>
      </c>
      <c r="F25" s="86" t="s">
        <v>258</v>
      </c>
      <c r="G25" s="113" t="s">
        <v>259</v>
      </c>
      <c r="H25" s="51">
        <v>2</v>
      </c>
      <c r="I25" s="51">
        <v>2</v>
      </c>
      <c r="J25" s="51">
        <v>2</v>
      </c>
      <c r="K25" s="51">
        <v>2</v>
      </c>
      <c r="L25" s="51">
        <v>2</v>
      </c>
      <c r="M25" s="51">
        <v>2</v>
      </c>
      <c r="N25" s="24">
        <f t="shared" si="8"/>
        <v>2</v>
      </c>
      <c r="O25" s="114" t="s">
        <v>10</v>
      </c>
      <c r="P25" s="51">
        <v>3</v>
      </c>
      <c r="Q25" s="51">
        <v>3</v>
      </c>
      <c r="R25" s="51">
        <v>2</v>
      </c>
      <c r="S25" s="51">
        <v>2</v>
      </c>
      <c r="T25" s="51">
        <v>0</v>
      </c>
      <c r="U25" s="51">
        <v>0</v>
      </c>
      <c r="V25" s="24">
        <f t="shared" si="9"/>
        <v>1.6666666666666667</v>
      </c>
      <c r="W25" s="114" t="s">
        <v>10</v>
      </c>
      <c r="X25" s="105" t="s">
        <v>10</v>
      </c>
      <c r="Y25" s="150" t="s">
        <v>347</v>
      </c>
      <c r="Z25" s="108">
        <v>45696</v>
      </c>
      <c r="AA25" s="105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</row>
    <row r="26" spans="1:46" s="41" customFormat="1" ht="28.5" customHeight="1">
      <c r="A26" s="93" t="s">
        <v>260</v>
      </c>
      <c r="B26" s="84" t="s">
        <v>261</v>
      </c>
      <c r="C26" s="45"/>
      <c r="D26" s="45" t="s">
        <v>262</v>
      </c>
      <c r="E26" s="47" t="s">
        <v>263</v>
      </c>
      <c r="F26" s="85">
        <v>72285743</v>
      </c>
      <c r="G26" s="113" t="s">
        <v>264</v>
      </c>
      <c r="H26" s="51">
        <v>3</v>
      </c>
      <c r="I26" s="51">
        <v>3</v>
      </c>
      <c r="J26" s="51">
        <v>3</v>
      </c>
      <c r="K26" s="51">
        <v>3</v>
      </c>
      <c r="L26" s="51">
        <v>3</v>
      </c>
      <c r="M26" s="51">
        <v>3</v>
      </c>
      <c r="N26" s="24">
        <f t="shared" si="8"/>
        <v>3</v>
      </c>
      <c r="O26" s="114" t="s">
        <v>8</v>
      </c>
      <c r="P26" s="51">
        <v>3</v>
      </c>
      <c r="Q26" s="51">
        <v>3</v>
      </c>
      <c r="R26" s="51">
        <v>3</v>
      </c>
      <c r="S26" s="51">
        <v>2</v>
      </c>
      <c r="T26" s="51">
        <v>0</v>
      </c>
      <c r="U26" s="51">
        <v>0</v>
      </c>
      <c r="V26" s="24">
        <f t="shared" si="9"/>
        <v>1.8333333333333333</v>
      </c>
      <c r="W26" s="114" t="s">
        <v>10</v>
      </c>
      <c r="X26" s="105" t="s">
        <v>10</v>
      </c>
      <c r="Y26" s="150" t="s">
        <v>347</v>
      </c>
      <c r="Z26" s="108">
        <v>45696</v>
      </c>
      <c r="AA26" s="105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</row>
    <row r="27" spans="1:46" s="41" customFormat="1" ht="21.95" customHeight="1">
      <c r="A27" s="208" t="s">
        <v>55</v>
      </c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12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</row>
    <row r="28" spans="1:46" s="41" customFormat="1" ht="28.5" customHeight="1">
      <c r="A28" s="93" t="s">
        <v>265</v>
      </c>
      <c r="B28" s="84" t="s">
        <v>266</v>
      </c>
      <c r="C28" s="45"/>
      <c r="D28" s="45" t="s">
        <v>267</v>
      </c>
      <c r="E28" s="47" t="s">
        <v>268</v>
      </c>
      <c r="F28" s="86">
        <v>98326865</v>
      </c>
      <c r="G28" s="47"/>
      <c r="H28" s="51">
        <v>3</v>
      </c>
      <c r="I28" s="51">
        <v>3</v>
      </c>
      <c r="J28" s="51">
        <v>2</v>
      </c>
      <c r="K28" s="51">
        <v>3</v>
      </c>
      <c r="L28" s="51">
        <v>2</v>
      </c>
      <c r="M28" s="51">
        <v>2</v>
      </c>
      <c r="N28" s="24">
        <f>+AVERAGE(H28:M28)</f>
        <v>2.5</v>
      </c>
      <c r="O28" s="114" t="s">
        <v>8</v>
      </c>
      <c r="P28" s="51">
        <v>2</v>
      </c>
      <c r="Q28" s="51">
        <v>3</v>
      </c>
      <c r="R28" s="51">
        <v>3</v>
      </c>
      <c r="S28" s="51">
        <v>2</v>
      </c>
      <c r="T28" s="51">
        <v>0</v>
      </c>
      <c r="U28" s="51">
        <v>0</v>
      </c>
      <c r="V28" s="24">
        <f>+AVERAGE(P28:U28)</f>
        <v>1.6666666666666667</v>
      </c>
      <c r="W28" s="114" t="s">
        <v>10</v>
      </c>
      <c r="X28" s="105" t="s">
        <v>10</v>
      </c>
      <c r="Y28" s="150" t="s">
        <v>347</v>
      </c>
      <c r="Z28" s="108">
        <v>45696</v>
      </c>
      <c r="AA28" s="105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</row>
    <row r="29" spans="1:46" s="41" customFormat="1" ht="28.5" customHeight="1">
      <c r="A29" s="93" t="s">
        <v>269</v>
      </c>
      <c r="B29" s="84" t="s">
        <v>270</v>
      </c>
      <c r="C29" s="45"/>
      <c r="D29" s="45" t="s">
        <v>271</v>
      </c>
      <c r="E29" s="45" t="s">
        <v>272</v>
      </c>
      <c r="F29" s="86" t="s">
        <v>273</v>
      </c>
      <c r="G29" s="113" t="s">
        <v>274</v>
      </c>
      <c r="H29" s="51">
        <v>2</v>
      </c>
      <c r="I29" s="51">
        <v>3</v>
      </c>
      <c r="J29" s="51">
        <v>2</v>
      </c>
      <c r="K29" s="51">
        <v>2</v>
      </c>
      <c r="L29" s="51">
        <v>2</v>
      </c>
      <c r="M29" s="51">
        <v>3</v>
      </c>
      <c r="N29" s="24">
        <f>+AVERAGE(H29:M29)</f>
        <v>2.3333333333333335</v>
      </c>
      <c r="O29" s="114" t="s">
        <v>8</v>
      </c>
      <c r="P29" s="51">
        <v>2</v>
      </c>
      <c r="Q29" s="51">
        <v>2</v>
      </c>
      <c r="R29" s="51">
        <v>2</v>
      </c>
      <c r="S29" s="51">
        <v>2</v>
      </c>
      <c r="T29" s="51">
        <v>0</v>
      </c>
      <c r="U29" s="51">
        <v>0</v>
      </c>
      <c r="V29" s="24">
        <f>+AVERAGE(P29:U29)</f>
        <v>1.3333333333333333</v>
      </c>
      <c r="W29" s="114" t="s">
        <v>10</v>
      </c>
      <c r="X29" s="105" t="s">
        <v>10</v>
      </c>
      <c r="Y29" s="150" t="s">
        <v>347</v>
      </c>
      <c r="Z29" s="108">
        <v>45696</v>
      </c>
      <c r="AA29" s="105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</row>
    <row r="30" spans="1:46" s="41" customFormat="1" ht="21.95" customHeight="1">
      <c r="A30" s="208" t="s">
        <v>56</v>
      </c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12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</row>
    <row r="31" spans="1:46" s="41" customFormat="1" ht="36.75" customHeight="1">
      <c r="A31" s="93"/>
      <c r="B31" s="84"/>
      <c r="C31" s="45"/>
      <c r="D31" s="45"/>
      <c r="E31" s="47"/>
      <c r="F31" s="86"/>
      <c r="G31" s="131"/>
      <c r="H31" s="51"/>
      <c r="I31" s="51"/>
      <c r="J31" s="51"/>
      <c r="K31" s="51"/>
      <c r="L31" s="51"/>
      <c r="M31" s="51"/>
      <c r="N31" s="24"/>
      <c r="O31" s="114"/>
      <c r="P31" s="51"/>
      <c r="Q31" s="51"/>
      <c r="R31" s="51"/>
      <c r="S31" s="51"/>
      <c r="T31" s="51"/>
      <c r="U31" s="51"/>
      <c r="V31" s="24"/>
      <c r="W31" s="114"/>
      <c r="X31" s="105"/>
      <c r="Y31" s="150"/>
      <c r="Z31" s="108"/>
      <c r="AA31" s="105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</row>
    <row r="32" spans="1:46" s="41" customFormat="1" ht="21.95" customHeight="1">
      <c r="A32" s="208" t="s">
        <v>46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12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</row>
    <row r="33" spans="1:46" s="41" customFormat="1" ht="28.5" customHeight="1">
      <c r="A33" s="93" t="s">
        <v>275</v>
      </c>
      <c r="B33" s="84" t="s">
        <v>365</v>
      </c>
      <c r="C33" s="45"/>
      <c r="D33" s="45" t="s">
        <v>276</v>
      </c>
      <c r="E33" s="47" t="s">
        <v>316</v>
      </c>
      <c r="F33" s="86"/>
      <c r="G33" s="113"/>
      <c r="H33" s="51">
        <v>3</v>
      </c>
      <c r="I33" s="51">
        <v>3</v>
      </c>
      <c r="J33" s="51">
        <v>2</v>
      </c>
      <c r="K33" s="51">
        <v>0</v>
      </c>
      <c r="L33" s="51">
        <v>0</v>
      </c>
      <c r="M33" s="51">
        <v>0</v>
      </c>
      <c r="N33" s="24">
        <f>+AVERAGE(H33:M33)</f>
        <v>1.3333333333333333</v>
      </c>
      <c r="O33" s="114" t="s">
        <v>8</v>
      </c>
      <c r="P33" s="51">
        <v>2</v>
      </c>
      <c r="Q33" s="51">
        <v>1</v>
      </c>
      <c r="R33" s="51">
        <v>1</v>
      </c>
      <c r="S33" s="51">
        <v>2</v>
      </c>
      <c r="T33" s="51">
        <v>1</v>
      </c>
      <c r="U33" s="51">
        <v>1</v>
      </c>
      <c r="V33" s="24">
        <f>+AVERAGE(P33:U33)</f>
        <v>1.3333333333333333</v>
      </c>
      <c r="W33" s="114" t="s">
        <v>10</v>
      </c>
      <c r="X33" s="105" t="s">
        <v>10</v>
      </c>
      <c r="Y33" s="150" t="s">
        <v>347</v>
      </c>
      <c r="Z33" s="108">
        <v>45696</v>
      </c>
      <c r="AA33" s="105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</row>
    <row r="34" spans="1:46" s="41" customFormat="1" ht="28.5" customHeight="1">
      <c r="A34" s="37" t="s">
        <v>382</v>
      </c>
      <c r="B34" s="84" t="s">
        <v>314</v>
      </c>
      <c r="C34" s="45"/>
      <c r="D34" s="45" t="s">
        <v>315</v>
      </c>
      <c r="E34" s="47" t="s">
        <v>317</v>
      </c>
      <c r="F34" s="86"/>
      <c r="G34" s="113"/>
      <c r="H34" s="51">
        <v>3</v>
      </c>
      <c r="I34" s="51">
        <v>3</v>
      </c>
      <c r="J34" s="51">
        <v>2</v>
      </c>
      <c r="K34" s="51">
        <v>3</v>
      </c>
      <c r="L34" s="51">
        <v>3</v>
      </c>
      <c r="M34" s="51">
        <v>3</v>
      </c>
      <c r="N34" s="24">
        <f>AVERAGE(H34:M34)</f>
        <v>2.8333333333333335</v>
      </c>
      <c r="O34" s="114" t="s">
        <v>8</v>
      </c>
      <c r="P34" s="51">
        <v>3</v>
      </c>
      <c r="Q34" s="51">
        <v>3</v>
      </c>
      <c r="R34" s="51">
        <v>3</v>
      </c>
      <c r="S34" s="51">
        <v>2</v>
      </c>
      <c r="T34" s="51">
        <v>2</v>
      </c>
      <c r="U34" s="51">
        <v>3</v>
      </c>
      <c r="V34" s="24">
        <f>AVERAGE(P34:U34)</f>
        <v>2.6666666666666665</v>
      </c>
      <c r="W34" s="105" t="s">
        <v>8</v>
      </c>
      <c r="X34" s="105" t="s">
        <v>8</v>
      </c>
      <c r="Y34" s="150" t="s">
        <v>347</v>
      </c>
      <c r="Z34" s="108">
        <v>45696</v>
      </c>
      <c r="AA34" s="105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</row>
    <row r="35" spans="1:46" s="41" customFormat="1" ht="21.95" customHeight="1">
      <c r="A35" s="208" t="s">
        <v>57</v>
      </c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12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</row>
    <row r="36" spans="1:46" s="41" customFormat="1" ht="28.5" customHeight="1">
      <c r="A36" s="93" t="s">
        <v>277</v>
      </c>
      <c r="B36" s="84" t="s">
        <v>278</v>
      </c>
      <c r="C36" s="45"/>
      <c r="D36" s="45" t="s">
        <v>279</v>
      </c>
      <c r="E36" s="47" t="s">
        <v>117</v>
      </c>
      <c r="F36" s="86">
        <v>29313151</v>
      </c>
      <c r="G36" s="113" t="s">
        <v>280</v>
      </c>
      <c r="H36" s="51">
        <v>3</v>
      </c>
      <c r="I36" s="51">
        <v>3</v>
      </c>
      <c r="J36" s="51">
        <v>3</v>
      </c>
      <c r="K36" s="51">
        <v>3</v>
      </c>
      <c r="L36" s="51">
        <v>3</v>
      </c>
      <c r="M36" s="51">
        <v>3</v>
      </c>
      <c r="N36" s="24">
        <f>AVERAGE(H36:M36)</f>
        <v>3</v>
      </c>
      <c r="O36" s="114" t="s">
        <v>8</v>
      </c>
      <c r="P36" s="51">
        <v>3</v>
      </c>
      <c r="Q36" s="51">
        <v>3</v>
      </c>
      <c r="R36" s="51">
        <v>3</v>
      </c>
      <c r="S36" s="51">
        <v>3</v>
      </c>
      <c r="T36" s="51">
        <v>3</v>
      </c>
      <c r="U36" s="51">
        <v>0</v>
      </c>
      <c r="V36" s="24">
        <f>+AVERAGE(P36:U36)</f>
        <v>2.5</v>
      </c>
      <c r="W36" s="114" t="s">
        <v>8</v>
      </c>
      <c r="X36" s="114" t="s">
        <v>8</v>
      </c>
      <c r="Y36" s="150" t="s">
        <v>347</v>
      </c>
      <c r="Z36" s="108">
        <v>45696</v>
      </c>
      <c r="AA36" s="105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</row>
    <row r="37" spans="1:46" s="41" customFormat="1" ht="28.5" customHeight="1">
      <c r="A37" s="93" t="s">
        <v>281</v>
      </c>
      <c r="B37" s="84" t="s">
        <v>366</v>
      </c>
      <c r="C37" s="45"/>
      <c r="D37" s="45" t="s">
        <v>282</v>
      </c>
      <c r="E37" s="45" t="s">
        <v>283</v>
      </c>
      <c r="F37" s="86">
        <v>72287568</v>
      </c>
      <c r="G37" s="113"/>
      <c r="H37" s="51">
        <v>3</v>
      </c>
      <c r="I37" s="51">
        <v>3</v>
      </c>
      <c r="J37" s="51">
        <v>3</v>
      </c>
      <c r="K37" s="51">
        <v>2</v>
      </c>
      <c r="L37" s="51">
        <v>3</v>
      </c>
      <c r="M37" s="51">
        <v>3</v>
      </c>
      <c r="N37" s="24">
        <f>AVERAGE(H37:M37)</f>
        <v>2.8333333333333335</v>
      </c>
      <c r="O37" s="114" t="s">
        <v>8</v>
      </c>
      <c r="P37" s="51">
        <v>3</v>
      </c>
      <c r="Q37" s="51">
        <v>3</v>
      </c>
      <c r="R37" s="51">
        <v>3</v>
      </c>
      <c r="S37" s="51">
        <v>3</v>
      </c>
      <c r="T37" s="51">
        <v>3</v>
      </c>
      <c r="U37" s="51">
        <v>0</v>
      </c>
      <c r="V37" s="24">
        <f>+AVERAGE(P37:U37)</f>
        <v>2.5</v>
      </c>
      <c r="W37" s="114" t="s">
        <v>8</v>
      </c>
      <c r="X37" s="114" t="s">
        <v>8</v>
      </c>
      <c r="Y37" s="150" t="s">
        <v>347</v>
      </c>
      <c r="Z37" s="108">
        <v>45696</v>
      </c>
      <c r="AA37" s="105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</row>
    <row r="38" spans="1:46" s="41" customFormat="1" ht="21.95" customHeight="1">
      <c r="A38" s="208" t="s">
        <v>58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12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</row>
    <row r="39" spans="1:46" s="41" customFormat="1" ht="28.5" customHeight="1">
      <c r="A39" s="93" t="s">
        <v>284</v>
      </c>
      <c r="B39" s="84" t="s">
        <v>285</v>
      </c>
      <c r="C39" s="45"/>
      <c r="D39" s="45" t="s">
        <v>132</v>
      </c>
      <c r="E39" s="47"/>
      <c r="F39" s="86"/>
      <c r="G39" s="113"/>
      <c r="H39" s="51">
        <v>3</v>
      </c>
      <c r="I39" s="51">
        <v>3</v>
      </c>
      <c r="J39" s="51">
        <v>3</v>
      </c>
      <c r="K39" s="51">
        <v>3</v>
      </c>
      <c r="L39" s="51">
        <v>3</v>
      </c>
      <c r="M39" s="51">
        <v>3</v>
      </c>
      <c r="N39" s="24">
        <f>+AVERAGE(H39:M39)</f>
        <v>3</v>
      </c>
      <c r="O39" s="114" t="s">
        <v>8</v>
      </c>
      <c r="P39" s="51">
        <v>3</v>
      </c>
      <c r="Q39" s="51">
        <v>3</v>
      </c>
      <c r="R39" s="51">
        <v>3</v>
      </c>
      <c r="S39" s="51">
        <v>3</v>
      </c>
      <c r="T39" s="51">
        <v>2</v>
      </c>
      <c r="U39" s="51">
        <v>0</v>
      </c>
      <c r="V39" s="24">
        <f>+AVERAGE(P39:U39)</f>
        <v>2.3333333333333335</v>
      </c>
      <c r="W39" s="114" t="s">
        <v>10</v>
      </c>
      <c r="X39" s="114" t="s">
        <v>10</v>
      </c>
      <c r="Y39" s="150" t="s">
        <v>347</v>
      </c>
      <c r="Z39" s="108">
        <v>45696</v>
      </c>
      <c r="AA39" s="105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</row>
    <row r="40" spans="1:46" s="41" customFormat="1" ht="28.5" customHeight="1">
      <c r="A40" s="93" t="s">
        <v>286</v>
      </c>
      <c r="B40" s="84" t="s">
        <v>287</v>
      </c>
      <c r="C40" s="45"/>
      <c r="D40" s="45" t="s">
        <v>132</v>
      </c>
      <c r="E40" s="45"/>
      <c r="F40" s="86"/>
      <c r="G40" s="113"/>
      <c r="H40" s="51">
        <v>2</v>
      </c>
      <c r="I40" s="51">
        <v>2</v>
      </c>
      <c r="J40" s="51">
        <v>2</v>
      </c>
      <c r="K40" s="51">
        <v>2</v>
      </c>
      <c r="L40" s="51">
        <v>2</v>
      </c>
      <c r="M40" s="51">
        <v>2</v>
      </c>
      <c r="N40" s="24">
        <f>+AVERAGE(H40:M40)</f>
        <v>2</v>
      </c>
      <c r="O40" s="114" t="s">
        <v>10</v>
      </c>
      <c r="P40" s="51">
        <v>2</v>
      </c>
      <c r="Q40" s="51">
        <v>3</v>
      </c>
      <c r="R40" s="51">
        <v>2</v>
      </c>
      <c r="S40" s="51">
        <v>2</v>
      </c>
      <c r="T40" s="51">
        <v>2</v>
      </c>
      <c r="U40" s="51">
        <v>0</v>
      </c>
      <c r="V40" s="24">
        <f>+AVERAGE(P40:U40)</f>
        <v>1.8333333333333333</v>
      </c>
      <c r="W40" s="114" t="s">
        <v>10</v>
      </c>
      <c r="X40" s="114" t="s">
        <v>10</v>
      </c>
      <c r="Y40" s="150" t="s">
        <v>347</v>
      </c>
      <c r="Z40" s="108">
        <v>45696</v>
      </c>
      <c r="AA40" s="105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</row>
    <row r="41" spans="1:46" s="41" customFormat="1" ht="28.5" customHeight="1">
      <c r="A41" s="93" t="s">
        <v>288</v>
      </c>
      <c r="B41" s="84" t="s">
        <v>289</v>
      </c>
      <c r="C41" s="45"/>
      <c r="D41" s="45" t="s">
        <v>132</v>
      </c>
      <c r="E41" s="45" t="s">
        <v>290</v>
      </c>
      <c r="F41" s="86" t="s">
        <v>291</v>
      </c>
      <c r="G41" s="113" t="s">
        <v>292</v>
      </c>
      <c r="H41" s="51">
        <v>2</v>
      </c>
      <c r="I41" s="51">
        <v>2</v>
      </c>
      <c r="J41" s="51">
        <v>3</v>
      </c>
      <c r="K41" s="51">
        <v>2</v>
      </c>
      <c r="L41" s="51">
        <v>2</v>
      </c>
      <c r="M41" s="51">
        <v>2</v>
      </c>
      <c r="N41" s="24">
        <f>+AVERAGE(H41:M41)</f>
        <v>2.1666666666666665</v>
      </c>
      <c r="O41" s="114" t="s">
        <v>10</v>
      </c>
      <c r="P41" s="51">
        <v>2</v>
      </c>
      <c r="Q41" s="51">
        <v>3</v>
      </c>
      <c r="R41" s="51">
        <v>2</v>
      </c>
      <c r="S41" s="51">
        <v>2</v>
      </c>
      <c r="T41" s="51">
        <v>2</v>
      </c>
      <c r="U41" s="51">
        <v>0</v>
      </c>
      <c r="V41" s="24">
        <f>+AVERAGE(P41:U41)</f>
        <v>1.8333333333333333</v>
      </c>
      <c r="W41" s="114" t="s">
        <v>10</v>
      </c>
      <c r="X41" s="114" t="s">
        <v>10</v>
      </c>
      <c r="Y41" s="150" t="s">
        <v>347</v>
      </c>
      <c r="Z41" s="108">
        <v>45696</v>
      </c>
      <c r="AA41" s="105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</row>
    <row r="42" spans="1:46" s="41" customFormat="1" ht="25.5" customHeight="1">
      <c r="A42" s="208" t="s">
        <v>65</v>
      </c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12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</row>
    <row r="43" spans="1:46" s="41" customFormat="1" ht="28.5" customHeight="1">
      <c r="A43" s="93" t="s">
        <v>293</v>
      </c>
      <c r="B43" s="84" t="s">
        <v>123</v>
      </c>
      <c r="C43" s="45"/>
      <c r="D43" s="45" t="s">
        <v>152</v>
      </c>
      <c r="E43" s="45"/>
      <c r="F43" s="86">
        <v>27322135</v>
      </c>
      <c r="G43" s="113" t="s">
        <v>294</v>
      </c>
      <c r="H43" s="51">
        <v>3</v>
      </c>
      <c r="I43" s="51">
        <v>3</v>
      </c>
      <c r="J43" s="51">
        <v>3</v>
      </c>
      <c r="K43" s="51">
        <v>3</v>
      </c>
      <c r="L43" s="51">
        <v>3</v>
      </c>
      <c r="M43" s="51">
        <v>3</v>
      </c>
      <c r="N43" s="24">
        <f>+AVERAGE(H43:M43)</f>
        <v>3</v>
      </c>
      <c r="O43" s="114" t="s">
        <v>8</v>
      </c>
      <c r="P43" s="51">
        <v>3</v>
      </c>
      <c r="Q43" s="51">
        <v>3</v>
      </c>
      <c r="R43" s="51">
        <v>3</v>
      </c>
      <c r="S43" s="51">
        <v>2</v>
      </c>
      <c r="T43" s="51">
        <v>0</v>
      </c>
      <c r="U43" s="51">
        <v>0</v>
      </c>
      <c r="V43" s="24">
        <f>+AVERAGE(P43:U43)</f>
        <v>1.8333333333333333</v>
      </c>
      <c r="W43" s="114" t="s">
        <v>8</v>
      </c>
      <c r="X43" s="105" t="s">
        <v>8</v>
      </c>
      <c r="Y43" s="150" t="s">
        <v>347</v>
      </c>
      <c r="Z43" s="108">
        <v>45696</v>
      </c>
      <c r="AA43" s="105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</row>
    <row r="44" spans="1:46" s="4" customFormat="1" ht="28.5" customHeight="1">
      <c r="A44" s="208" t="s">
        <v>295</v>
      </c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</row>
    <row r="45" spans="1:46" s="41" customFormat="1" ht="28.5" customHeight="1">
      <c r="A45" s="93" t="s">
        <v>296</v>
      </c>
      <c r="B45" s="84" t="s">
        <v>297</v>
      </c>
      <c r="C45" s="45" t="s">
        <v>298</v>
      </c>
      <c r="D45" s="45" t="s">
        <v>299</v>
      </c>
      <c r="E45" s="47" t="s">
        <v>300</v>
      </c>
      <c r="F45" s="86" t="s">
        <v>301</v>
      </c>
      <c r="G45" s="113"/>
      <c r="H45" s="51">
        <v>3</v>
      </c>
      <c r="I45" s="51">
        <v>3</v>
      </c>
      <c r="J45" s="51">
        <v>3</v>
      </c>
      <c r="K45" s="51">
        <v>3</v>
      </c>
      <c r="L45" s="51">
        <v>3</v>
      </c>
      <c r="M45" s="51">
        <v>3</v>
      </c>
      <c r="N45" s="24">
        <f>+AVERAGE(H45:M45)</f>
        <v>3</v>
      </c>
      <c r="O45" s="114" t="s">
        <v>8</v>
      </c>
      <c r="P45" s="51">
        <v>3</v>
      </c>
      <c r="Q45" s="51">
        <v>3</v>
      </c>
      <c r="R45" s="51">
        <v>3</v>
      </c>
      <c r="S45" s="51">
        <v>2</v>
      </c>
      <c r="T45" s="51">
        <v>0</v>
      </c>
      <c r="U45" s="51">
        <v>0</v>
      </c>
      <c r="V45" s="24">
        <f>+AVERAGE(P45:U45)</f>
        <v>1.8333333333333333</v>
      </c>
      <c r="W45" s="114" t="s">
        <v>10</v>
      </c>
      <c r="X45" s="105" t="s">
        <v>10</v>
      </c>
      <c r="Y45" s="150" t="s">
        <v>347</v>
      </c>
      <c r="Z45" s="108">
        <v>45696</v>
      </c>
      <c r="AA45" s="105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</row>
    <row r="46" spans="1:46" s="41" customFormat="1" ht="28.5" customHeight="1">
      <c r="A46" s="93" t="s">
        <v>302</v>
      </c>
      <c r="B46" s="84" t="s">
        <v>303</v>
      </c>
      <c r="C46" s="45" t="s">
        <v>304</v>
      </c>
      <c r="D46" s="45" t="s">
        <v>305</v>
      </c>
      <c r="E46" s="45"/>
      <c r="F46" s="86" t="s">
        <v>306</v>
      </c>
      <c r="G46" s="113" t="s">
        <v>307</v>
      </c>
      <c r="H46" s="51">
        <v>3</v>
      </c>
      <c r="I46" s="51">
        <v>3</v>
      </c>
      <c r="J46" s="51">
        <v>2</v>
      </c>
      <c r="K46" s="51">
        <v>3</v>
      </c>
      <c r="L46" s="51">
        <v>3</v>
      </c>
      <c r="M46" s="51">
        <v>3</v>
      </c>
      <c r="N46" s="24">
        <f>+AVERAGE(H46:M46)</f>
        <v>2.8333333333333335</v>
      </c>
      <c r="O46" s="114" t="s">
        <v>8</v>
      </c>
      <c r="P46" s="51">
        <v>3</v>
      </c>
      <c r="Q46" s="51">
        <v>3</v>
      </c>
      <c r="R46" s="51">
        <v>3</v>
      </c>
      <c r="S46" s="51">
        <v>2</v>
      </c>
      <c r="T46" s="51">
        <v>0</v>
      </c>
      <c r="U46" s="51">
        <v>0</v>
      </c>
      <c r="V46" s="24">
        <f>+AVERAGE(P46:U46)</f>
        <v>1.8333333333333333</v>
      </c>
      <c r="W46" s="114" t="s">
        <v>10</v>
      </c>
      <c r="X46" s="105" t="s">
        <v>10</v>
      </c>
      <c r="Y46" s="150" t="s">
        <v>347</v>
      </c>
      <c r="Z46" s="108">
        <v>45696</v>
      </c>
      <c r="AA46" s="105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</row>
    <row r="47" spans="1:46" s="41" customFormat="1" ht="28.5" customHeight="1">
      <c r="A47" s="93" t="s">
        <v>308</v>
      </c>
      <c r="B47" s="84" t="s">
        <v>309</v>
      </c>
      <c r="C47" s="45" t="s">
        <v>310</v>
      </c>
      <c r="D47" s="45" t="s">
        <v>311</v>
      </c>
      <c r="E47" s="45" t="s">
        <v>312</v>
      </c>
      <c r="F47" s="86">
        <v>71449100</v>
      </c>
      <c r="G47" s="113" t="s">
        <v>313</v>
      </c>
      <c r="H47" s="51">
        <v>3</v>
      </c>
      <c r="I47" s="51">
        <v>3</v>
      </c>
      <c r="J47" s="51">
        <v>3</v>
      </c>
      <c r="K47" s="51">
        <v>3</v>
      </c>
      <c r="L47" s="51">
        <v>3</v>
      </c>
      <c r="M47" s="51">
        <v>3</v>
      </c>
      <c r="N47" s="24">
        <f>+AVERAGE(H47:M47)</f>
        <v>3</v>
      </c>
      <c r="O47" s="114" t="s">
        <v>8</v>
      </c>
      <c r="P47" s="51">
        <v>3</v>
      </c>
      <c r="Q47" s="51">
        <v>3</v>
      </c>
      <c r="R47" s="51">
        <v>3</v>
      </c>
      <c r="S47" s="51">
        <v>2</v>
      </c>
      <c r="T47" s="51">
        <v>0</v>
      </c>
      <c r="U47" s="51">
        <v>0</v>
      </c>
      <c r="V47" s="24">
        <f>+AVERAGE(P47:U47)</f>
        <v>1.8333333333333333</v>
      </c>
      <c r="W47" s="114" t="s">
        <v>10</v>
      </c>
      <c r="X47" s="105" t="s">
        <v>10</v>
      </c>
      <c r="Y47" s="150" t="s">
        <v>347</v>
      </c>
      <c r="Z47" s="108">
        <v>45696</v>
      </c>
      <c r="AA47" s="105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</row>
    <row r="48" spans="1:46" s="4" customFormat="1">
      <c r="A48" s="9"/>
      <c r="B48" s="9"/>
      <c r="C48"/>
      <c r="D48"/>
      <c r="E48"/>
      <c r="F48"/>
      <c r="G48"/>
      <c r="H48" s="132"/>
      <c r="I48" s="132"/>
      <c r="J48" s="132"/>
      <c r="K48" s="132"/>
      <c r="L48" s="132"/>
      <c r="M48" s="132"/>
      <c r="N48" s="60"/>
      <c r="O48" s="56"/>
      <c r="P48" s="133"/>
      <c r="Q48" s="133"/>
      <c r="R48" s="133"/>
      <c r="S48" s="133"/>
      <c r="T48" s="133"/>
      <c r="U48" s="133"/>
      <c r="V48" s="56"/>
      <c r="W48" s="13"/>
      <c r="X48"/>
      <c r="Y48"/>
      <c r="Z48"/>
      <c r="AA48" s="2"/>
      <c r="AB48" s="2"/>
      <c r="AC48" s="2"/>
      <c r="AD48" s="2"/>
      <c r="AE48" s="2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52" s="70" customFormat="1" ht="24.75" customHeight="1">
      <c r="A49" s="156" t="s">
        <v>86</v>
      </c>
      <c r="B49" s="178"/>
      <c r="C49" s="178"/>
      <c r="D49" s="178"/>
      <c r="E49" s="178"/>
      <c r="F49" s="178"/>
      <c r="G49" s="179"/>
      <c r="H49" s="41"/>
      <c r="I49" s="41"/>
      <c r="J49" s="41"/>
      <c r="K49" s="41"/>
      <c r="L49" s="118"/>
      <c r="M49" s="132"/>
      <c r="N49" s="60"/>
      <c r="O49" s="60"/>
      <c r="P49" s="132"/>
      <c r="Q49" s="132"/>
      <c r="R49" s="132"/>
      <c r="S49" s="133"/>
      <c r="T49" s="133"/>
      <c r="U49" s="133"/>
      <c r="V49" s="5"/>
      <c r="W49" s="7"/>
      <c r="X49" s="13"/>
      <c r="Y49" s="54"/>
      <c r="Z49" s="54"/>
      <c r="AA49" s="54"/>
      <c r="AB49" s="13"/>
      <c r="AC49" s="13"/>
      <c r="AD49" s="68"/>
      <c r="AE49" s="68"/>
      <c r="AF49" s="6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s="70" customFormat="1" ht="24.75" customHeight="1">
      <c r="A50" s="155" t="s">
        <v>9</v>
      </c>
      <c r="B50" s="155"/>
      <c r="C50" s="156"/>
      <c r="D50" s="155" t="s">
        <v>12</v>
      </c>
      <c r="E50" s="155"/>
      <c r="F50" s="155"/>
      <c r="G50" s="155"/>
      <c r="H50" s="41"/>
      <c r="I50" s="41"/>
      <c r="J50" s="41"/>
      <c r="K50" s="41"/>
      <c r="L50" s="118"/>
      <c r="M50" s="36"/>
      <c r="N50" s="139"/>
      <c r="O50" s="139"/>
      <c r="P50" s="36"/>
      <c r="Q50" s="36"/>
      <c r="R50" s="36"/>
      <c r="S50" s="133"/>
      <c r="T50" s="133"/>
      <c r="U50" s="133"/>
      <c r="V50" s="5"/>
      <c r="W50" s="7"/>
      <c r="X50" s="13"/>
      <c r="Y50" s="54"/>
      <c r="Z50" s="54"/>
      <c r="AA50" s="54"/>
      <c r="AB50" s="13"/>
      <c r="AC50" s="13"/>
      <c r="AD50" s="68"/>
      <c r="AE50" s="68"/>
      <c r="AF50" s="6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s="70" customFormat="1" ht="24.75" customHeight="1">
      <c r="A51" s="183" t="s">
        <v>2</v>
      </c>
      <c r="B51" s="183"/>
      <c r="C51" s="65" t="s">
        <v>37</v>
      </c>
      <c r="D51" s="28" t="s">
        <v>8</v>
      </c>
      <c r="E51" s="181" t="s">
        <v>40</v>
      </c>
      <c r="F51" s="181"/>
      <c r="G51" s="181"/>
      <c r="H51" s="41"/>
      <c r="I51" s="41"/>
      <c r="J51" s="41"/>
      <c r="K51" s="41"/>
      <c r="L51" s="118"/>
      <c r="M51" s="137"/>
      <c r="N51" s="140"/>
      <c r="O51" s="140"/>
      <c r="P51" s="137"/>
      <c r="Q51" s="137"/>
      <c r="R51" s="137"/>
      <c r="S51" s="137"/>
      <c r="T51" s="137"/>
      <c r="U51" s="133"/>
      <c r="V51" s="5"/>
      <c r="W51" s="7"/>
      <c r="X51" s="39"/>
      <c r="Y51"/>
      <c r="Z51"/>
      <c r="AA51"/>
      <c r="AB51" s="13"/>
      <c r="AC51" s="13"/>
      <c r="AD51" s="68"/>
      <c r="AE51" s="68"/>
      <c r="AF51" s="6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s="70" customFormat="1" ht="24.75" customHeight="1">
      <c r="A52" s="183" t="s">
        <v>3</v>
      </c>
      <c r="B52" s="183"/>
      <c r="C52" s="66" t="s">
        <v>38</v>
      </c>
      <c r="D52" s="28" t="s">
        <v>10</v>
      </c>
      <c r="E52" s="181" t="s">
        <v>13</v>
      </c>
      <c r="F52" s="181"/>
      <c r="G52" s="181"/>
      <c r="H52" s="41"/>
      <c r="I52" s="41"/>
      <c r="J52" s="41"/>
      <c r="K52" s="41"/>
      <c r="L52" s="118"/>
      <c r="M52" s="41"/>
      <c r="N52" s="6"/>
      <c r="O52" s="6"/>
      <c r="P52" s="41"/>
      <c r="Q52" s="41"/>
      <c r="R52" s="41"/>
      <c r="S52" s="41"/>
      <c r="T52" s="41"/>
      <c r="U52" s="133"/>
      <c r="V52" s="5"/>
      <c r="W52" s="7"/>
      <c r="X52" s="40"/>
      <c r="Y52"/>
      <c r="Z52"/>
      <c r="AA52"/>
      <c r="AB52" s="2"/>
      <c r="AC52" s="2"/>
      <c r="AD52" s="68"/>
      <c r="AE52" s="68"/>
      <c r="AF52" s="6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s="70" customFormat="1" ht="24.75" customHeight="1">
      <c r="A53" s="183" t="s">
        <v>4</v>
      </c>
      <c r="B53" s="183"/>
      <c r="C53" s="67" t="s">
        <v>20</v>
      </c>
      <c r="D53" s="28" t="s">
        <v>11</v>
      </c>
      <c r="E53" s="182" t="s">
        <v>14</v>
      </c>
      <c r="F53" s="182"/>
      <c r="G53" s="182"/>
      <c r="H53" s="41"/>
      <c r="I53" s="41"/>
      <c r="J53" s="41"/>
      <c r="K53" s="41"/>
      <c r="L53" s="118"/>
      <c r="M53" s="41"/>
      <c r="N53" s="6"/>
      <c r="O53" s="6"/>
      <c r="P53" s="41"/>
      <c r="Q53" s="41"/>
      <c r="R53" s="41"/>
      <c r="S53" s="41"/>
      <c r="T53" s="41"/>
      <c r="U53" s="133"/>
      <c r="V53" s="5"/>
      <c r="W53" s="7"/>
      <c r="X53" s="40"/>
      <c r="Y53"/>
      <c r="Z53"/>
      <c r="AA53"/>
      <c r="AB53" s="2"/>
      <c r="AC53" s="2"/>
      <c r="AD53" s="68"/>
      <c r="AE53" s="68"/>
      <c r="AF53" s="6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s="70" customFormat="1" ht="24.75" customHeight="1">
      <c r="A54" s="183" t="s">
        <v>5</v>
      </c>
      <c r="B54" s="183"/>
      <c r="C54" s="32" t="s">
        <v>19</v>
      </c>
      <c r="D54" s="39"/>
      <c r="E54" s="39"/>
      <c r="F54" s="39"/>
      <c r="G54" s="39"/>
      <c r="H54" s="41"/>
      <c r="I54" s="41"/>
      <c r="J54" s="41"/>
      <c r="K54" s="41"/>
      <c r="L54" s="118"/>
      <c r="M54" s="118"/>
      <c r="N54" s="5"/>
      <c r="O54" s="5"/>
      <c r="P54" s="118"/>
      <c r="Q54" s="118"/>
      <c r="R54" s="118"/>
      <c r="S54" s="118"/>
      <c r="T54" s="118"/>
      <c r="U54" s="133"/>
      <c r="V54" s="5"/>
      <c r="W54" s="7"/>
      <c r="X54" s="2"/>
      <c r="Y54"/>
      <c r="Z54"/>
      <c r="AA54"/>
      <c r="AB54" s="2"/>
      <c r="AC54" s="2"/>
      <c r="AD54" s="68"/>
      <c r="AE54" s="68"/>
      <c r="AF54" s="6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s="70" customFormat="1" ht="12.75" customHeight="1">
      <c r="A55" s="115"/>
      <c r="B55" s="2"/>
      <c r="C55" s="68"/>
      <c r="D55" s="68"/>
      <c r="E55" s="68"/>
      <c r="F55" s="68"/>
      <c r="G55" s="68"/>
      <c r="H55" s="41"/>
      <c r="I55" s="41"/>
      <c r="J55" s="41"/>
      <c r="K55" s="41"/>
      <c r="L55" s="118"/>
      <c r="M55" s="118"/>
      <c r="N55" s="5"/>
      <c r="O55" s="5"/>
      <c r="P55" s="118"/>
      <c r="Q55" s="118"/>
      <c r="R55" s="118"/>
      <c r="S55" s="118"/>
      <c r="T55" s="118"/>
      <c r="U55" s="133"/>
      <c r="V55" s="5"/>
      <c r="W55" s="7"/>
      <c r="X55" s="2"/>
      <c r="Y55"/>
      <c r="Z55"/>
      <c r="AA55"/>
      <c r="AB55" s="2"/>
      <c r="AC55" s="2"/>
      <c r="AD55" s="68"/>
      <c r="AE55" s="68"/>
      <c r="AF55" s="6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s="70" customFormat="1" ht="30.75" customHeight="1">
      <c r="A56" s="180" t="s">
        <v>6</v>
      </c>
      <c r="B56" s="180"/>
      <c r="C56" s="40"/>
      <c r="D56" s="40"/>
      <c r="E56" s="40"/>
      <c r="F56" s="40"/>
      <c r="G56" s="40"/>
      <c r="H56" s="41"/>
      <c r="I56" s="41"/>
      <c r="J56" s="41"/>
      <c r="K56" s="41"/>
      <c r="L56" s="118"/>
      <c r="M56" s="118"/>
      <c r="N56" s="5"/>
      <c r="O56" s="5"/>
      <c r="P56" s="118"/>
      <c r="Q56" s="118"/>
      <c r="R56" s="118"/>
      <c r="S56" s="118"/>
      <c r="T56" s="118"/>
      <c r="U56" s="133"/>
      <c r="V56" s="5"/>
      <c r="W56" s="7"/>
      <c r="X56" s="2"/>
      <c r="Y56"/>
      <c r="Z56"/>
      <c r="AA56"/>
      <c r="AB56" s="2"/>
      <c r="AC56" s="2"/>
      <c r="AD56" s="68"/>
      <c r="AE56" s="68"/>
      <c r="AF56" s="6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</sheetData>
  <mergeCells count="41">
    <mergeCell ref="W1:AA1"/>
    <mergeCell ref="W2:AA2"/>
    <mergeCell ref="A56:B56"/>
    <mergeCell ref="B1:V2"/>
    <mergeCell ref="A52:B52"/>
    <mergeCell ref="E52:G52"/>
    <mergeCell ref="A53:B53"/>
    <mergeCell ref="E53:G53"/>
    <mergeCell ref="A54:B54"/>
    <mergeCell ref="A49:G49"/>
    <mergeCell ref="A50:C50"/>
    <mergeCell ref="D50:G50"/>
    <mergeCell ref="A51:B51"/>
    <mergeCell ref="E51:G51"/>
    <mergeCell ref="A42:AA42"/>
    <mergeCell ref="B6:B7"/>
    <mergeCell ref="A35:AA35"/>
    <mergeCell ref="A30:AA30"/>
    <mergeCell ref="A27:AA27"/>
    <mergeCell ref="A32:AA32"/>
    <mergeCell ref="E6:E7"/>
    <mergeCell ref="F6:F7"/>
    <mergeCell ref="G6:G7"/>
    <mergeCell ref="C6:C7"/>
    <mergeCell ref="D6:D7"/>
    <mergeCell ref="A44:AA44"/>
    <mergeCell ref="A8:AA8"/>
    <mergeCell ref="A1:A2"/>
    <mergeCell ref="A38:AA38"/>
    <mergeCell ref="A6:A7"/>
    <mergeCell ref="A23:AA23"/>
    <mergeCell ref="A13:AA13"/>
    <mergeCell ref="AA6:AA7"/>
    <mergeCell ref="N6:O7"/>
    <mergeCell ref="X6:X7"/>
    <mergeCell ref="Y6:Z6"/>
    <mergeCell ref="V6:W7"/>
    <mergeCell ref="A19:AA19"/>
    <mergeCell ref="A21:AA21"/>
    <mergeCell ref="H6:M6"/>
    <mergeCell ref="P6:U6"/>
  </mergeCells>
  <conditionalFormatting sqref="U49:W55 W47:Z47 O47 Y11:Z13 X18:X20 W9:Z10 O9:O18 W11:X18 W20:X43 O20:O43 Y15:Z43 W36:Z37 W39:Z41">
    <cfRule type="cellIs" dxfId="987" priority="929" stopIfTrue="1" operator="equal">
      <formula>"C"</formula>
    </cfRule>
    <cfRule type="cellIs" dxfId="986" priority="930" stopIfTrue="1" operator="equal">
      <formula>"C"</formula>
    </cfRule>
    <cfRule type="cellIs" dxfId="985" priority="931" stopIfTrue="1" operator="equal">
      <formula>"B"</formula>
    </cfRule>
    <cfRule type="cellIs" dxfId="984" priority="932" stopIfTrue="1" operator="equal">
      <formula>"A"</formula>
    </cfRule>
  </conditionalFormatting>
  <conditionalFormatting sqref="W46:Z46 O46">
    <cfRule type="cellIs" dxfId="983" priority="805" stopIfTrue="1" operator="equal">
      <formula>"C"</formula>
    </cfRule>
    <cfRule type="cellIs" dxfId="982" priority="806" stopIfTrue="1" operator="equal">
      <formula>"C"</formula>
    </cfRule>
    <cfRule type="cellIs" dxfId="981" priority="807" stopIfTrue="1" operator="equal">
      <formula>"B"</formula>
    </cfRule>
    <cfRule type="cellIs" dxfId="980" priority="808" stopIfTrue="1" operator="equal">
      <formula>"A"</formula>
    </cfRule>
  </conditionalFormatting>
  <conditionalFormatting sqref="W45:Z45 O45 X46:X47">
    <cfRule type="cellIs" dxfId="979" priority="801" stopIfTrue="1" operator="equal">
      <formula>"C"</formula>
    </cfRule>
    <cfRule type="cellIs" dxfId="978" priority="802" stopIfTrue="1" operator="equal">
      <formula>"C"</formula>
    </cfRule>
    <cfRule type="cellIs" dxfId="977" priority="803" stopIfTrue="1" operator="equal">
      <formula>"B"</formula>
    </cfRule>
    <cfRule type="cellIs" dxfId="976" priority="804" stopIfTrue="1" operator="equal">
      <formula>"A"</formula>
    </cfRule>
  </conditionalFormatting>
  <conditionalFormatting sqref="W45:W47 O45:O47">
    <cfRule type="cellIs" dxfId="975" priority="753" stopIfTrue="1" operator="equal">
      <formula>"C"</formula>
    </cfRule>
    <cfRule type="cellIs" dxfId="974" priority="754" stopIfTrue="1" operator="equal">
      <formula>"C"</formula>
    </cfRule>
    <cfRule type="cellIs" dxfId="973" priority="755" stopIfTrue="1" operator="equal">
      <formula>"B"</formula>
    </cfRule>
    <cfRule type="cellIs" dxfId="972" priority="756" stopIfTrue="1" operator="equal">
      <formula>"A"</formula>
    </cfRule>
  </conditionalFormatting>
  <conditionalFormatting sqref="Y43:Z43">
    <cfRule type="cellIs" dxfId="971" priority="609" stopIfTrue="1" operator="equal">
      <formula>"C"</formula>
    </cfRule>
    <cfRule type="cellIs" dxfId="970" priority="610" stopIfTrue="1" operator="equal">
      <formula>"C"</formula>
    </cfRule>
    <cfRule type="cellIs" dxfId="969" priority="611" stopIfTrue="1" operator="equal">
      <formula>"B"</formula>
    </cfRule>
    <cfRule type="cellIs" dxfId="968" priority="612" stopIfTrue="1" operator="equal">
      <formula>"A"</formula>
    </cfRule>
  </conditionalFormatting>
  <conditionalFormatting sqref="Y43:Z43">
    <cfRule type="cellIs" dxfId="967" priority="605" stopIfTrue="1" operator="equal">
      <formula>"C"</formula>
    </cfRule>
    <cfRule type="cellIs" dxfId="966" priority="606" stopIfTrue="1" operator="equal">
      <formula>"C"</formula>
    </cfRule>
    <cfRule type="cellIs" dxfId="965" priority="607" stopIfTrue="1" operator="equal">
      <formula>"B"</formula>
    </cfRule>
    <cfRule type="cellIs" dxfId="964" priority="608" stopIfTrue="1" operator="equal">
      <formula>"A"</formula>
    </cfRule>
  </conditionalFormatting>
  <conditionalFormatting sqref="Y43:Z43">
    <cfRule type="cellIs" dxfId="963" priority="601" stopIfTrue="1" operator="equal">
      <formula>"C"</formula>
    </cfRule>
    <cfRule type="cellIs" dxfId="962" priority="602" stopIfTrue="1" operator="equal">
      <formula>"C"</formula>
    </cfRule>
    <cfRule type="cellIs" dxfId="961" priority="603" stopIfTrue="1" operator="equal">
      <formula>"B"</formula>
    </cfRule>
    <cfRule type="cellIs" dxfId="960" priority="604" stopIfTrue="1" operator="equal">
      <formula>"A"</formula>
    </cfRule>
  </conditionalFormatting>
  <conditionalFormatting sqref="Y45:Z47">
    <cfRule type="cellIs" dxfId="959" priority="597" stopIfTrue="1" operator="equal">
      <formula>"C"</formula>
    </cfRule>
    <cfRule type="cellIs" dxfId="958" priority="598" stopIfTrue="1" operator="equal">
      <formula>"C"</formula>
    </cfRule>
    <cfRule type="cellIs" dxfId="957" priority="599" stopIfTrue="1" operator="equal">
      <formula>"B"</formula>
    </cfRule>
    <cfRule type="cellIs" dxfId="956" priority="600" stopIfTrue="1" operator="equal">
      <formula>"A"</formula>
    </cfRule>
  </conditionalFormatting>
  <conditionalFormatting sqref="Y45:Z47">
    <cfRule type="cellIs" dxfId="955" priority="593" stopIfTrue="1" operator="equal">
      <formula>"C"</formula>
    </cfRule>
    <cfRule type="cellIs" dxfId="954" priority="594" stopIfTrue="1" operator="equal">
      <formula>"C"</formula>
    </cfRule>
    <cfRule type="cellIs" dxfId="953" priority="595" stopIfTrue="1" operator="equal">
      <formula>"B"</formula>
    </cfRule>
    <cfRule type="cellIs" dxfId="952" priority="596" stopIfTrue="1" operator="equal">
      <formula>"A"</formula>
    </cfRule>
  </conditionalFormatting>
  <conditionalFormatting sqref="Y45:Z47">
    <cfRule type="cellIs" dxfId="951" priority="589" stopIfTrue="1" operator="equal">
      <formula>"C"</formula>
    </cfRule>
    <cfRule type="cellIs" dxfId="950" priority="590" stopIfTrue="1" operator="equal">
      <formula>"C"</formula>
    </cfRule>
    <cfRule type="cellIs" dxfId="949" priority="591" stopIfTrue="1" operator="equal">
      <formula>"B"</formula>
    </cfRule>
    <cfRule type="cellIs" dxfId="948" priority="592" stopIfTrue="1" operator="equal">
      <formula>"A"</formula>
    </cfRule>
  </conditionalFormatting>
  <conditionalFormatting sqref="Y43:Z43">
    <cfRule type="cellIs" dxfId="947" priority="505" stopIfTrue="1" operator="equal">
      <formula>"C"</formula>
    </cfRule>
    <cfRule type="cellIs" dxfId="946" priority="506" stopIfTrue="1" operator="equal">
      <formula>"C"</formula>
    </cfRule>
    <cfRule type="cellIs" dxfId="945" priority="507" stopIfTrue="1" operator="equal">
      <formula>"B"</formula>
    </cfRule>
    <cfRule type="cellIs" dxfId="944" priority="508" stopIfTrue="1" operator="equal">
      <formula>"A"</formula>
    </cfRule>
  </conditionalFormatting>
  <conditionalFormatting sqref="Y43:Z43">
    <cfRule type="cellIs" dxfId="943" priority="501" stopIfTrue="1" operator="equal">
      <formula>"C"</formula>
    </cfRule>
    <cfRule type="cellIs" dxfId="942" priority="502" stopIfTrue="1" operator="equal">
      <formula>"C"</formula>
    </cfRule>
    <cfRule type="cellIs" dxfId="941" priority="503" stopIfTrue="1" operator="equal">
      <formula>"B"</formula>
    </cfRule>
    <cfRule type="cellIs" dxfId="940" priority="504" stopIfTrue="1" operator="equal">
      <formula>"A"</formula>
    </cfRule>
  </conditionalFormatting>
  <conditionalFormatting sqref="Y45:Z47">
    <cfRule type="cellIs" dxfId="939" priority="497" stopIfTrue="1" operator="equal">
      <formula>"C"</formula>
    </cfRule>
    <cfRule type="cellIs" dxfId="938" priority="498" stopIfTrue="1" operator="equal">
      <formula>"C"</formula>
    </cfRule>
    <cfRule type="cellIs" dxfId="937" priority="499" stopIfTrue="1" operator="equal">
      <formula>"B"</formula>
    </cfRule>
    <cfRule type="cellIs" dxfId="936" priority="500" stopIfTrue="1" operator="equal">
      <formula>"A"</formula>
    </cfRule>
  </conditionalFormatting>
  <conditionalFormatting sqref="Y45:Z47">
    <cfRule type="cellIs" dxfId="935" priority="493" stopIfTrue="1" operator="equal">
      <formula>"C"</formula>
    </cfRule>
    <cfRule type="cellIs" dxfId="934" priority="494" stopIfTrue="1" operator="equal">
      <formula>"C"</formula>
    </cfRule>
    <cfRule type="cellIs" dxfId="933" priority="495" stopIfTrue="1" operator="equal">
      <formula>"B"</formula>
    </cfRule>
    <cfRule type="cellIs" dxfId="932" priority="496" stopIfTrue="1" operator="equal">
      <formula>"A"</formula>
    </cfRule>
  </conditionalFormatting>
  <conditionalFormatting sqref="Y43:Z43">
    <cfRule type="cellIs" dxfId="931" priority="185" stopIfTrue="1" operator="equal">
      <formula>"C"</formula>
    </cfRule>
    <cfRule type="cellIs" dxfId="930" priority="186" stopIfTrue="1" operator="equal">
      <formula>"C"</formula>
    </cfRule>
    <cfRule type="cellIs" dxfId="929" priority="187" stopIfTrue="1" operator="equal">
      <formula>"B"</formula>
    </cfRule>
    <cfRule type="cellIs" dxfId="928" priority="188" stopIfTrue="1" operator="equal">
      <formula>"A"</formula>
    </cfRule>
  </conditionalFormatting>
  <conditionalFormatting sqref="Y43:Z43">
    <cfRule type="cellIs" dxfId="927" priority="181" stopIfTrue="1" operator="equal">
      <formula>"C"</formula>
    </cfRule>
    <cfRule type="cellIs" dxfId="926" priority="182" stopIfTrue="1" operator="equal">
      <formula>"C"</formula>
    </cfRule>
    <cfRule type="cellIs" dxfId="925" priority="183" stopIfTrue="1" operator="equal">
      <formula>"B"</formula>
    </cfRule>
    <cfRule type="cellIs" dxfId="924" priority="184" stopIfTrue="1" operator="equal">
      <formula>"A"</formula>
    </cfRule>
  </conditionalFormatting>
  <conditionalFormatting sqref="Y43:Z43">
    <cfRule type="cellIs" dxfId="923" priority="177" stopIfTrue="1" operator="equal">
      <formula>"C"</formula>
    </cfRule>
    <cfRule type="cellIs" dxfId="922" priority="178" stopIfTrue="1" operator="equal">
      <formula>"C"</formula>
    </cfRule>
    <cfRule type="cellIs" dxfId="921" priority="179" stopIfTrue="1" operator="equal">
      <formula>"B"</formula>
    </cfRule>
    <cfRule type="cellIs" dxfId="920" priority="180" stopIfTrue="1" operator="equal">
      <formula>"A"</formula>
    </cfRule>
  </conditionalFormatting>
  <conditionalFormatting sqref="Y43:Z43">
    <cfRule type="cellIs" dxfId="919" priority="173" stopIfTrue="1" operator="equal">
      <formula>"C"</formula>
    </cfRule>
    <cfRule type="cellIs" dxfId="918" priority="174" stopIfTrue="1" operator="equal">
      <formula>"C"</formula>
    </cfRule>
    <cfRule type="cellIs" dxfId="917" priority="175" stopIfTrue="1" operator="equal">
      <formula>"B"</formula>
    </cfRule>
    <cfRule type="cellIs" dxfId="916" priority="176" stopIfTrue="1" operator="equal">
      <formula>"A"</formula>
    </cfRule>
  </conditionalFormatting>
  <conditionalFormatting sqref="Y43:Z43">
    <cfRule type="cellIs" dxfId="915" priority="169" stopIfTrue="1" operator="equal">
      <formula>"C"</formula>
    </cfRule>
    <cfRule type="cellIs" dxfId="914" priority="170" stopIfTrue="1" operator="equal">
      <formula>"C"</formula>
    </cfRule>
    <cfRule type="cellIs" dxfId="913" priority="171" stopIfTrue="1" operator="equal">
      <formula>"B"</formula>
    </cfRule>
    <cfRule type="cellIs" dxfId="912" priority="172" stopIfTrue="1" operator="equal">
      <formula>"A"</formula>
    </cfRule>
  </conditionalFormatting>
  <conditionalFormatting sqref="Y43:Z43">
    <cfRule type="cellIs" dxfId="911" priority="165" stopIfTrue="1" operator="equal">
      <formula>"C"</formula>
    </cfRule>
    <cfRule type="cellIs" dxfId="910" priority="166" stopIfTrue="1" operator="equal">
      <formula>"C"</formula>
    </cfRule>
    <cfRule type="cellIs" dxfId="909" priority="167" stopIfTrue="1" operator="equal">
      <formula>"B"</formula>
    </cfRule>
    <cfRule type="cellIs" dxfId="908" priority="168" stopIfTrue="1" operator="equal">
      <formula>"A"</formula>
    </cfRule>
  </conditionalFormatting>
  <conditionalFormatting sqref="Y43:Z43">
    <cfRule type="cellIs" dxfId="907" priority="161" stopIfTrue="1" operator="equal">
      <formula>"C"</formula>
    </cfRule>
    <cfRule type="cellIs" dxfId="906" priority="162" stopIfTrue="1" operator="equal">
      <formula>"C"</formula>
    </cfRule>
    <cfRule type="cellIs" dxfId="905" priority="163" stopIfTrue="1" operator="equal">
      <formula>"B"</formula>
    </cfRule>
    <cfRule type="cellIs" dxfId="904" priority="164" stopIfTrue="1" operator="equal">
      <formula>"A"</formula>
    </cfRule>
  </conditionalFormatting>
  <conditionalFormatting sqref="Y45:Z47">
    <cfRule type="cellIs" dxfId="903" priority="129" stopIfTrue="1" operator="equal">
      <formula>"C"</formula>
    </cfRule>
    <cfRule type="cellIs" dxfId="902" priority="130" stopIfTrue="1" operator="equal">
      <formula>"C"</formula>
    </cfRule>
    <cfRule type="cellIs" dxfId="901" priority="131" stopIfTrue="1" operator="equal">
      <formula>"B"</formula>
    </cfRule>
    <cfRule type="cellIs" dxfId="900" priority="132" stopIfTrue="1" operator="equal">
      <formula>"A"</formula>
    </cfRule>
  </conditionalFormatting>
  <conditionalFormatting sqref="Y45:Z47">
    <cfRule type="cellIs" dxfId="899" priority="125" stopIfTrue="1" operator="equal">
      <formula>"C"</formula>
    </cfRule>
    <cfRule type="cellIs" dxfId="898" priority="126" stopIfTrue="1" operator="equal">
      <formula>"C"</formula>
    </cfRule>
    <cfRule type="cellIs" dxfId="897" priority="127" stopIfTrue="1" operator="equal">
      <formula>"B"</formula>
    </cfRule>
    <cfRule type="cellIs" dxfId="896" priority="128" stopIfTrue="1" operator="equal">
      <formula>"A"</formula>
    </cfRule>
  </conditionalFormatting>
  <conditionalFormatting sqref="Y45:Z47">
    <cfRule type="cellIs" dxfId="895" priority="121" stopIfTrue="1" operator="equal">
      <formula>"C"</formula>
    </cfRule>
    <cfRule type="cellIs" dxfId="894" priority="122" stopIfTrue="1" operator="equal">
      <formula>"C"</formula>
    </cfRule>
    <cfRule type="cellIs" dxfId="893" priority="123" stopIfTrue="1" operator="equal">
      <formula>"B"</formula>
    </cfRule>
    <cfRule type="cellIs" dxfId="892" priority="124" stopIfTrue="1" operator="equal">
      <formula>"A"</formula>
    </cfRule>
  </conditionalFormatting>
  <conditionalFormatting sqref="Y45:Z47">
    <cfRule type="cellIs" dxfId="891" priority="117" stopIfTrue="1" operator="equal">
      <formula>"C"</formula>
    </cfRule>
    <cfRule type="cellIs" dxfId="890" priority="118" stopIfTrue="1" operator="equal">
      <formula>"C"</formula>
    </cfRule>
    <cfRule type="cellIs" dxfId="889" priority="119" stopIfTrue="1" operator="equal">
      <formula>"B"</formula>
    </cfRule>
    <cfRule type="cellIs" dxfId="888" priority="120" stopIfTrue="1" operator="equal">
      <formula>"A"</formula>
    </cfRule>
  </conditionalFormatting>
  <conditionalFormatting sqref="Y45:Z47">
    <cfRule type="cellIs" dxfId="887" priority="113" stopIfTrue="1" operator="equal">
      <formula>"C"</formula>
    </cfRule>
    <cfRule type="cellIs" dxfId="886" priority="114" stopIfTrue="1" operator="equal">
      <formula>"C"</formula>
    </cfRule>
    <cfRule type="cellIs" dxfId="885" priority="115" stopIfTrue="1" operator="equal">
      <formula>"B"</formula>
    </cfRule>
    <cfRule type="cellIs" dxfId="884" priority="116" stopIfTrue="1" operator="equal">
      <formula>"A"</formula>
    </cfRule>
  </conditionalFormatting>
  <conditionalFormatting sqref="Y45:Z47">
    <cfRule type="cellIs" dxfId="883" priority="109" stopIfTrue="1" operator="equal">
      <formula>"C"</formula>
    </cfRule>
    <cfRule type="cellIs" dxfId="882" priority="110" stopIfTrue="1" operator="equal">
      <formula>"C"</formula>
    </cfRule>
    <cfRule type="cellIs" dxfId="881" priority="111" stopIfTrue="1" operator="equal">
      <formula>"B"</formula>
    </cfRule>
    <cfRule type="cellIs" dxfId="880" priority="112" stopIfTrue="1" operator="equal">
      <formula>"A"</formula>
    </cfRule>
  </conditionalFormatting>
  <conditionalFormatting sqref="Y45:Z47">
    <cfRule type="cellIs" dxfId="879" priority="105" stopIfTrue="1" operator="equal">
      <formula>"C"</formula>
    </cfRule>
    <cfRule type="cellIs" dxfId="878" priority="106" stopIfTrue="1" operator="equal">
      <formula>"C"</formula>
    </cfRule>
    <cfRule type="cellIs" dxfId="877" priority="107" stopIfTrue="1" operator="equal">
      <formula>"B"</formula>
    </cfRule>
    <cfRule type="cellIs" dxfId="876" priority="108" stopIfTrue="1" operator="equal">
      <formula>"A"</formula>
    </cfRule>
  </conditionalFormatting>
  <dataValidations count="2">
    <dataValidation type="list" allowBlank="1" showInputMessage="1" showErrorMessage="1" sqref="O45:O47 W45:X47 W20:X20 W22:X22 O20 O22 W24:X26 O24:O26 O9:O12 W9:X12 O14:O18 W14:X18 W39:X41 W28:X29 O28:O29 W31:X31 O33:O34 O36:O37 W33:X34 O31 O43 O39:O41 W36:X37 W43:X43">
      <formula1>"A, B, C"</formula1>
    </dataValidation>
    <dataValidation type="list" allowBlank="1" showInputMessage="1" showErrorMessage="1" sqref="P45:U47 H45:M47 H20:M20 P20:U20 P22:U22 H22:M22 H24:M26 P24:U26 H9:M12 P9:U12 P14:U18 H14:M18 H33:M34 P31:U31 H28:M29 H36:M37 P28:U29 H31:M31 P36:U37 P33:U34 H43:M43 P39:U41 H39:M41 P43:U43">
      <formula1>"0, 1, 2, 3"</formula1>
    </dataValidation>
  </dataValidations>
  <hyperlinks>
    <hyperlink ref="G10" r:id="rId1"/>
    <hyperlink ref="G11" r:id="rId2"/>
    <hyperlink ref="G9" r:id="rId3"/>
    <hyperlink ref="G24" r:id="rId4"/>
    <hyperlink ref="G25" r:id="rId5"/>
    <hyperlink ref="G26" r:id="rId6"/>
    <hyperlink ref="G29" r:id="rId7"/>
    <hyperlink ref="G36" r:id="rId8"/>
    <hyperlink ref="G41" r:id="rId9"/>
    <hyperlink ref="G43" r:id="rId10"/>
    <hyperlink ref="G47" r:id="rId11"/>
    <hyperlink ref="G46" r:id="rId12"/>
    <hyperlink ref="G12" r:id="rId13"/>
  </hyperlinks>
  <printOptions horizontalCentered="1" verticalCentered="1"/>
  <pageMargins left="0.7" right="0.7" top="0.75" bottom="0.75" header="0.3" footer="0.3"/>
  <pageSetup paperSize="9" scale="33" orientation="landscape" horizontalDpi="4294967293" r:id="rId14"/>
  <headerFooter alignWithMargins="0">
    <oddFooter>&amp;C&amp;P/&amp;N</oddFooter>
  </headerFooter>
  <rowBreaks count="1" manualBreakCount="1">
    <brk id="37" max="26" man="1"/>
  </rowBreaks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34"/>
  <sheetViews>
    <sheetView view="pageBreakPreview" topLeftCell="A7" zoomScale="91" zoomScaleNormal="106" zoomScaleSheetLayoutView="91" workbookViewId="0">
      <selection activeCell="A18" sqref="A18"/>
    </sheetView>
  </sheetViews>
  <sheetFormatPr baseColWidth="10" defaultColWidth="11.5703125" defaultRowHeight="12.75"/>
  <cols>
    <col min="1" max="1" width="12.28515625" style="141" customWidth="1"/>
    <col min="2" max="2" width="30.85546875" style="141" customWidth="1"/>
    <col min="3" max="3" width="17.5703125" style="142" customWidth="1"/>
    <col min="4" max="4" width="27.140625" style="142" customWidth="1"/>
    <col min="5" max="5" width="23.42578125" style="142" customWidth="1"/>
    <col min="6" max="6" width="19.42578125" style="142" customWidth="1"/>
    <col min="7" max="7" width="23.5703125" style="142" customWidth="1"/>
    <col min="8" max="8" width="12.28515625" style="118" customWidth="1"/>
    <col min="9" max="9" width="11.42578125" style="118" customWidth="1"/>
    <col min="10" max="10" width="5.85546875" style="118" customWidth="1"/>
    <col min="11" max="12" width="9.140625" style="118" customWidth="1"/>
    <col min="13" max="13" width="10.7109375" style="118" customWidth="1"/>
    <col min="14" max="14" width="6.42578125" style="118" customWidth="1"/>
    <col min="15" max="16" width="11.140625" style="118" customWidth="1"/>
    <col min="17" max="17" width="8.140625" style="118" customWidth="1"/>
    <col min="18" max="18" width="9" style="118" customWidth="1"/>
    <col min="19" max="19" width="9" style="115" customWidth="1"/>
    <col min="20" max="20" width="6.7109375" style="115" customWidth="1"/>
    <col min="21" max="21" width="7.85546875" style="142" customWidth="1"/>
    <col min="22" max="23" width="11.42578125" style="142" customWidth="1"/>
    <col min="24" max="24" width="16" style="115" customWidth="1"/>
    <col min="25" max="28" width="11.5703125" style="115"/>
    <col min="29" max="36" width="11.5703125" style="118"/>
    <col min="37" max="43" width="11.5703125" style="11"/>
    <col min="44" max="16384" width="11.5703125" style="12"/>
  </cols>
  <sheetData>
    <row r="1" spans="1:43" customFormat="1" ht="24.75" customHeight="1">
      <c r="A1" s="213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4"/>
      <c r="T1" s="157" t="s">
        <v>21</v>
      </c>
      <c r="U1" s="158"/>
      <c r="V1" s="158"/>
      <c r="W1" s="158"/>
      <c r="X1" s="159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spans="1:43" customFormat="1" ht="27" customHeight="1">
      <c r="A2" s="214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7"/>
      <c r="T2" s="157">
        <v>3</v>
      </c>
      <c r="U2" s="158"/>
      <c r="V2" s="158"/>
      <c r="W2" s="158"/>
      <c r="X2" s="159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</row>
    <row r="3" spans="1:43" customFormat="1" ht="15.75" customHeight="1">
      <c r="A3" s="132"/>
      <c r="B3" s="31"/>
      <c r="C3" s="33"/>
      <c r="D3" s="33"/>
      <c r="E3" s="33"/>
      <c r="F3" s="33"/>
      <c r="G3" s="33"/>
      <c r="H3" s="133"/>
      <c r="I3" s="134"/>
      <c r="J3" s="134"/>
      <c r="K3" s="134"/>
      <c r="L3" s="134"/>
      <c r="M3" s="134"/>
      <c r="N3" s="134"/>
      <c r="O3" s="134"/>
      <c r="P3" s="134"/>
      <c r="Q3" s="135"/>
      <c r="R3" s="132"/>
      <c r="S3" s="1"/>
      <c r="T3" s="1"/>
      <c r="U3" s="33"/>
      <c r="V3" s="143"/>
      <c r="W3" s="143"/>
      <c r="X3" s="14"/>
      <c r="Y3" s="142"/>
      <c r="Z3" s="142"/>
      <c r="AA3" s="115"/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43" customFormat="1" ht="31.5" customHeight="1">
      <c r="A4" s="74" t="s">
        <v>15</v>
      </c>
      <c r="B4" s="53" t="s">
        <v>41</v>
      </c>
      <c r="C4" s="75" t="s">
        <v>16</v>
      </c>
      <c r="D4" s="130">
        <v>45917</v>
      </c>
      <c r="E4" s="17"/>
      <c r="F4" s="17"/>
      <c r="G4" s="17"/>
      <c r="H4" s="134"/>
      <c r="I4" s="134"/>
      <c r="J4" s="134"/>
      <c r="K4" s="134"/>
      <c r="L4" s="134"/>
      <c r="M4" s="134"/>
      <c r="N4" s="134"/>
      <c r="O4" s="134"/>
      <c r="P4" s="134"/>
      <c r="Q4" s="135"/>
      <c r="R4" s="132"/>
      <c r="S4" s="1"/>
      <c r="T4" s="1"/>
      <c r="U4" s="17"/>
      <c r="V4" s="144"/>
      <c r="W4" s="144"/>
      <c r="X4" s="14"/>
      <c r="Y4" s="142"/>
      <c r="Z4" s="142"/>
      <c r="AA4" s="115"/>
      <c r="AB4" s="142"/>
      <c r="AC4" s="142"/>
      <c r="AD4" s="142"/>
      <c r="AE4" s="142"/>
      <c r="AF4" s="142"/>
      <c r="AG4" s="142"/>
      <c r="AH4" s="142"/>
      <c r="AI4" s="142"/>
      <c r="AJ4" s="142"/>
    </row>
    <row r="5" spans="1:43" s="4" customFormat="1">
      <c r="A5" s="35"/>
      <c r="B5" s="35"/>
      <c r="C5" s="142"/>
      <c r="D5" s="142"/>
      <c r="E5" s="142"/>
      <c r="F5" s="142"/>
      <c r="G5" s="14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"/>
      <c r="T5" s="1"/>
      <c r="U5" s="142"/>
      <c r="V5" s="142"/>
      <c r="W5" s="142"/>
      <c r="X5" s="115"/>
      <c r="Y5" s="115"/>
      <c r="Z5" s="115"/>
      <c r="AA5" s="115"/>
      <c r="AB5" s="115"/>
      <c r="AC5" s="118"/>
      <c r="AD5" s="118"/>
      <c r="AE5" s="118"/>
      <c r="AF5" s="118"/>
      <c r="AG5" s="118"/>
      <c r="AH5" s="118"/>
      <c r="AI5" s="118"/>
      <c r="AJ5" s="118"/>
      <c r="AK5" s="3"/>
      <c r="AL5" s="3"/>
      <c r="AM5" s="3"/>
      <c r="AN5" s="3"/>
      <c r="AO5" s="3"/>
      <c r="AP5" s="3"/>
      <c r="AQ5" s="3"/>
    </row>
    <row r="6" spans="1:43" s="6" customFormat="1" ht="21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69" t="s">
        <v>0</v>
      </c>
      <c r="I6" s="170"/>
      <c r="J6" s="170"/>
      <c r="K6" s="170"/>
      <c r="L6" s="171"/>
      <c r="M6" s="164" t="s">
        <v>17</v>
      </c>
      <c r="N6" s="165"/>
      <c r="O6" s="169" t="s">
        <v>1</v>
      </c>
      <c r="P6" s="170"/>
      <c r="Q6" s="170"/>
      <c r="R6" s="170"/>
      <c r="S6" s="164" t="s">
        <v>7</v>
      </c>
      <c r="T6" s="165"/>
      <c r="U6" s="168" t="s">
        <v>85</v>
      </c>
      <c r="V6" s="161" t="s">
        <v>82</v>
      </c>
      <c r="W6" s="162"/>
      <c r="X6" s="168" t="s">
        <v>18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3" s="8" customFormat="1" ht="62.25" customHeight="1">
      <c r="A7" s="168"/>
      <c r="B7" s="168"/>
      <c r="C7" s="168"/>
      <c r="D7" s="168"/>
      <c r="E7" s="168"/>
      <c r="F7" s="168"/>
      <c r="G7" s="168"/>
      <c r="H7" s="120" t="s">
        <v>23</v>
      </c>
      <c r="I7" s="53" t="s">
        <v>26</v>
      </c>
      <c r="J7" s="53" t="s">
        <v>27</v>
      </c>
      <c r="K7" s="53" t="s">
        <v>30</v>
      </c>
      <c r="L7" s="53" t="s">
        <v>67</v>
      </c>
      <c r="M7" s="166"/>
      <c r="N7" s="167"/>
      <c r="O7" s="53" t="s">
        <v>68</v>
      </c>
      <c r="P7" s="53" t="s">
        <v>69</v>
      </c>
      <c r="Q7" s="53" t="s">
        <v>31</v>
      </c>
      <c r="R7" s="53" t="s">
        <v>66</v>
      </c>
      <c r="S7" s="166"/>
      <c r="T7" s="167"/>
      <c r="U7" s="168"/>
      <c r="V7" s="53" t="s">
        <v>83</v>
      </c>
      <c r="W7" s="53" t="s">
        <v>84</v>
      </c>
      <c r="X7" s="168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s="8" customFormat="1" ht="21.95" customHeight="1">
      <c r="A8" s="169" t="s">
        <v>62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1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s="8" customFormat="1" ht="24" customHeight="1">
      <c r="A9" s="93" t="s">
        <v>153</v>
      </c>
      <c r="B9" s="84" t="s">
        <v>154</v>
      </c>
      <c r="C9" s="45" t="s">
        <v>155</v>
      </c>
      <c r="D9" s="45" t="s">
        <v>156</v>
      </c>
      <c r="E9" s="47" t="s">
        <v>154</v>
      </c>
      <c r="F9" s="86">
        <v>99264530</v>
      </c>
      <c r="G9" s="49"/>
      <c r="H9" s="51">
        <v>2</v>
      </c>
      <c r="I9" s="51">
        <v>3</v>
      </c>
      <c r="J9" s="51">
        <v>3</v>
      </c>
      <c r="K9" s="51">
        <v>3</v>
      </c>
      <c r="L9" s="51">
        <v>3</v>
      </c>
      <c r="M9" s="103">
        <f t="shared" ref="M9:M10" si="0">AVERAGE(H9:L9)</f>
        <v>2.8</v>
      </c>
      <c r="N9" s="105" t="s">
        <v>8</v>
      </c>
      <c r="O9" s="51">
        <v>3</v>
      </c>
      <c r="P9" s="51">
        <v>3</v>
      </c>
      <c r="Q9" s="51">
        <v>3</v>
      </c>
      <c r="R9" s="51">
        <v>3</v>
      </c>
      <c r="S9" s="24">
        <f t="shared" ref="S9:S10" si="1">AVERAGE(O9:R9)</f>
        <v>3</v>
      </c>
      <c r="T9" s="114" t="s">
        <v>8</v>
      </c>
      <c r="U9" s="114" t="s">
        <v>8</v>
      </c>
      <c r="V9" s="150" t="s">
        <v>347</v>
      </c>
      <c r="W9" s="108">
        <v>45696</v>
      </c>
      <c r="X9" s="114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s="8" customFormat="1" ht="24" customHeight="1">
      <c r="A10" s="93" t="s">
        <v>318</v>
      </c>
      <c r="B10" s="84" t="s">
        <v>319</v>
      </c>
      <c r="C10" s="45"/>
      <c r="D10" s="45"/>
      <c r="E10" s="47" t="s">
        <v>320</v>
      </c>
      <c r="F10" s="85">
        <v>53350467</v>
      </c>
      <c r="G10" s="48"/>
      <c r="H10" s="51">
        <v>2</v>
      </c>
      <c r="I10" s="51">
        <v>2</v>
      </c>
      <c r="J10" s="51">
        <v>2</v>
      </c>
      <c r="K10" s="51">
        <v>2</v>
      </c>
      <c r="L10" s="51">
        <v>0</v>
      </c>
      <c r="M10" s="103">
        <f t="shared" si="0"/>
        <v>1.6</v>
      </c>
      <c r="N10" s="105" t="s">
        <v>10</v>
      </c>
      <c r="O10" s="51">
        <v>3</v>
      </c>
      <c r="P10" s="51">
        <v>3</v>
      </c>
      <c r="Q10" s="51">
        <v>3</v>
      </c>
      <c r="R10" s="51">
        <v>3</v>
      </c>
      <c r="S10" s="24">
        <f t="shared" si="1"/>
        <v>3</v>
      </c>
      <c r="T10" s="114" t="s">
        <v>8</v>
      </c>
      <c r="U10" s="114" t="s">
        <v>10</v>
      </c>
      <c r="V10" s="150" t="s">
        <v>347</v>
      </c>
      <c r="W10" s="108">
        <v>45696</v>
      </c>
      <c r="X10" s="114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s="8" customFormat="1" ht="24" customHeight="1">
      <c r="A11" s="37" t="s">
        <v>383</v>
      </c>
      <c r="B11" s="84" t="s">
        <v>348</v>
      </c>
      <c r="C11" s="45"/>
      <c r="D11" s="45"/>
      <c r="E11" s="47" t="s">
        <v>348</v>
      </c>
      <c r="F11" s="85"/>
      <c r="G11" s="23"/>
      <c r="H11" s="51">
        <v>3</v>
      </c>
      <c r="I11" s="51">
        <v>2</v>
      </c>
      <c r="J11" s="51">
        <v>2</v>
      </c>
      <c r="K11" s="51">
        <v>2</v>
      </c>
      <c r="L11" s="51">
        <v>2</v>
      </c>
      <c r="M11" s="103">
        <f t="shared" ref="M11" si="2">AVERAGE(H11:L11)</f>
        <v>2.2000000000000002</v>
      </c>
      <c r="N11" s="105" t="s">
        <v>8</v>
      </c>
      <c r="O11" s="51">
        <v>3</v>
      </c>
      <c r="P11" s="51">
        <v>2</v>
      </c>
      <c r="Q11" s="51">
        <v>2</v>
      </c>
      <c r="R11" s="51">
        <v>2</v>
      </c>
      <c r="S11" s="24">
        <f t="shared" ref="S11" si="3">AVERAGE(O11:R11)</f>
        <v>2.25</v>
      </c>
      <c r="T11" s="147" t="s">
        <v>8</v>
      </c>
      <c r="U11" s="147" t="s">
        <v>8</v>
      </c>
      <c r="V11" s="150" t="s">
        <v>347</v>
      </c>
      <c r="W11" s="108">
        <v>45696</v>
      </c>
      <c r="X11" s="14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s="8" customFormat="1" ht="21.95" customHeight="1">
      <c r="A12" s="215" t="s">
        <v>61</v>
      </c>
      <c r="B12" s="216"/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s="8" customFormat="1" ht="21.95" customHeight="1">
      <c r="A13" s="93"/>
      <c r="B13" s="84"/>
      <c r="C13" s="45"/>
      <c r="D13" s="45"/>
      <c r="E13" s="47"/>
      <c r="F13" s="85"/>
      <c r="G13" s="48"/>
      <c r="H13" s="51"/>
      <c r="I13" s="51"/>
      <c r="J13" s="51"/>
      <c r="K13" s="51"/>
      <c r="L13" s="51"/>
      <c r="M13" s="103"/>
      <c r="N13" s="105"/>
      <c r="O13" s="51"/>
      <c r="P13" s="51"/>
      <c r="Q13" s="51"/>
      <c r="R13" s="51"/>
      <c r="S13" s="24"/>
      <c r="T13" s="147"/>
      <c r="U13" s="147"/>
      <c r="V13" s="147"/>
      <c r="W13" s="147"/>
      <c r="X13" s="114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s="8" customFormat="1" ht="21.95" customHeight="1">
      <c r="A14" s="215" t="s">
        <v>64</v>
      </c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s="8" customFormat="1" ht="21.95" customHeight="1">
      <c r="A15" s="93"/>
      <c r="B15" s="84"/>
      <c r="C15" s="45"/>
      <c r="D15" s="45"/>
      <c r="E15" s="47"/>
      <c r="F15" s="85"/>
      <c r="G15" s="48"/>
      <c r="H15" s="51"/>
      <c r="I15" s="51"/>
      <c r="J15" s="51"/>
      <c r="K15" s="51"/>
      <c r="L15" s="51"/>
      <c r="M15" s="103"/>
      <c r="N15" s="105"/>
      <c r="O15" s="51"/>
      <c r="P15" s="51"/>
      <c r="Q15" s="51"/>
      <c r="R15" s="51"/>
      <c r="S15" s="24"/>
      <c r="T15" s="147"/>
      <c r="U15" s="147"/>
      <c r="V15" s="147"/>
      <c r="W15" s="147"/>
      <c r="X15" s="114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s="8" customFormat="1" ht="21.75" customHeight="1">
      <c r="A16" s="93"/>
      <c r="B16" s="84"/>
      <c r="C16" s="45"/>
      <c r="D16" s="45"/>
      <c r="E16" s="47"/>
      <c r="F16" s="85"/>
      <c r="G16" s="48"/>
      <c r="H16" s="51"/>
      <c r="I16" s="51"/>
      <c r="J16" s="51"/>
      <c r="K16" s="51"/>
      <c r="L16" s="51"/>
      <c r="M16" s="103"/>
      <c r="N16" s="105"/>
      <c r="O16" s="51"/>
      <c r="P16" s="51"/>
      <c r="Q16" s="51"/>
      <c r="R16" s="51"/>
      <c r="S16" s="24"/>
      <c r="T16" s="147"/>
      <c r="U16" s="147"/>
      <c r="V16" s="147"/>
      <c r="W16" s="147"/>
      <c r="X16" s="114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51" s="8" customFormat="1" ht="21.95" customHeight="1">
      <c r="A17" s="215" t="s">
        <v>63</v>
      </c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51" s="8" customFormat="1" ht="21.95" customHeight="1">
      <c r="A18" s="37" t="s">
        <v>384</v>
      </c>
      <c r="B18" s="23" t="s">
        <v>335</v>
      </c>
      <c r="C18" s="23"/>
      <c r="D18" s="23"/>
      <c r="E18" s="47" t="s">
        <v>335</v>
      </c>
      <c r="F18" s="23"/>
      <c r="G18" s="23"/>
      <c r="H18" s="145">
        <v>3</v>
      </c>
      <c r="I18" s="51">
        <v>3</v>
      </c>
      <c r="J18" s="51">
        <v>2</v>
      </c>
      <c r="K18" s="51">
        <v>2</v>
      </c>
      <c r="L18" s="51">
        <v>3</v>
      </c>
      <c r="M18" s="103">
        <f t="shared" ref="M18" si="4">AVERAGE(H18:L18)</f>
        <v>2.6</v>
      </c>
      <c r="N18" s="105" t="s">
        <v>8</v>
      </c>
      <c r="O18" s="51">
        <v>3</v>
      </c>
      <c r="P18" s="51">
        <v>3</v>
      </c>
      <c r="Q18" s="51">
        <v>3</v>
      </c>
      <c r="R18" s="51">
        <v>3</v>
      </c>
      <c r="S18" s="24">
        <f t="shared" ref="S18" si="5">AVERAGE(O18:R18)</f>
        <v>3</v>
      </c>
      <c r="T18" s="121" t="s">
        <v>8</v>
      </c>
      <c r="U18" s="121" t="s">
        <v>8</v>
      </c>
      <c r="V18" s="150" t="s">
        <v>347</v>
      </c>
      <c r="W18" s="108">
        <v>45696</v>
      </c>
      <c r="X18" s="114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51" s="8" customFormat="1" ht="21.95" customHeight="1">
      <c r="A19" s="215" t="s">
        <v>326</v>
      </c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51" s="8" customFormat="1" ht="21.95" customHeight="1">
      <c r="A20" s="93" t="s">
        <v>327</v>
      </c>
      <c r="B20" s="84" t="s">
        <v>328</v>
      </c>
      <c r="C20" s="45"/>
      <c r="D20" s="45" t="s">
        <v>152</v>
      </c>
      <c r="E20" s="47" t="s">
        <v>329</v>
      </c>
      <c r="F20" s="85"/>
      <c r="G20" s="48"/>
      <c r="H20" s="51">
        <v>3</v>
      </c>
      <c r="I20" s="51">
        <v>2</v>
      </c>
      <c r="J20" s="51">
        <v>2</v>
      </c>
      <c r="K20" s="51">
        <v>2</v>
      </c>
      <c r="L20" s="51">
        <v>2</v>
      </c>
      <c r="M20" s="103">
        <f>AVERAGE(H20:L20)</f>
        <v>2.2000000000000002</v>
      </c>
      <c r="N20" s="105" t="s">
        <v>8</v>
      </c>
      <c r="O20" s="51">
        <v>3</v>
      </c>
      <c r="P20" s="51">
        <v>2</v>
      </c>
      <c r="Q20" s="51">
        <v>2</v>
      </c>
      <c r="R20" s="51">
        <v>2</v>
      </c>
      <c r="S20" s="24">
        <f>AVERAGE(O20:R20)</f>
        <v>2.25</v>
      </c>
      <c r="T20" s="114" t="s">
        <v>8</v>
      </c>
      <c r="U20" s="121" t="s">
        <v>8</v>
      </c>
      <c r="V20" s="150" t="s">
        <v>347</v>
      </c>
      <c r="W20" s="108">
        <v>45696</v>
      </c>
      <c r="X20" s="11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51" s="8" customFormat="1" ht="21.95" customHeight="1">
      <c r="A21" s="215" t="s">
        <v>330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1:51" s="8" customFormat="1" ht="21.95" customHeight="1">
      <c r="A22" s="93" t="s">
        <v>331</v>
      </c>
      <c r="B22" s="84" t="s">
        <v>332</v>
      </c>
      <c r="C22" s="45"/>
      <c r="D22" s="45" t="s">
        <v>333</v>
      </c>
      <c r="E22" s="47" t="s">
        <v>334</v>
      </c>
      <c r="F22" s="85"/>
      <c r="G22" s="23"/>
      <c r="H22" s="51">
        <v>3</v>
      </c>
      <c r="I22" s="51">
        <v>3</v>
      </c>
      <c r="J22" s="51">
        <v>2</v>
      </c>
      <c r="K22" s="51">
        <v>2</v>
      </c>
      <c r="L22" s="51">
        <v>2</v>
      </c>
      <c r="M22" s="103">
        <f>AVERAGE(H22:L22)</f>
        <v>2.4</v>
      </c>
      <c r="N22" s="105" t="s">
        <v>8</v>
      </c>
      <c r="O22" s="51">
        <v>2</v>
      </c>
      <c r="P22" s="51">
        <v>2</v>
      </c>
      <c r="Q22" s="51">
        <v>3</v>
      </c>
      <c r="R22" s="51">
        <v>2</v>
      </c>
      <c r="S22" s="24">
        <f>AVERAGE(O22:R22)</f>
        <v>2.25</v>
      </c>
      <c r="T22" s="114" t="s">
        <v>8</v>
      </c>
      <c r="U22" s="121" t="s">
        <v>8</v>
      </c>
      <c r="V22" s="150" t="s">
        <v>347</v>
      </c>
      <c r="W22" s="108">
        <v>45696</v>
      </c>
      <c r="X22" s="114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51">
      <c r="U23" s="40"/>
    </row>
    <row r="24" spans="1:51" s="70" customFormat="1" ht="24.75" customHeight="1">
      <c r="A24" s="156" t="s">
        <v>86</v>
      </c>
      <c r="B24" s="178"/>
      <c r="C24" s="178"/>
      <c r="D24" s="178"/>
      <c r="E24" s="178"/>
      <c r="F24" s="178"/>
      <c r="G24" s="179"/>
      <c r="H24" s="41"/>
      <c r="I24" s="41"/>
      <c r="J24" s="41"/>
      <c r="K24" s="118"/>
      <c r="L24" s="132"/>
      <c r="M24" s="132"/>
      <c r="N24" s="132"/>
      <c r="O24" s="132"/>
      <c r="P24" s="132"/>
      <c r="Q24" s="132"/>
      <c r="R24" s="133"/>
      <c r="S24" s="13"/>
      <c r="T24" s="13"/>
      <c r="U24" s="7"/>
      <c r="V24" s="7"/>
      <c r="W24" s="13"/>
      <c r="X24" s="4"/>
      <c r="Y24" s="4"/>
      <c r="Z24" s="4"/>
      <c r="AA24" s="13"/>
      <c r="AB24" s="13"/>
      <c r="AC24" s="71"/>
      <c r="AD24" s="71"/>
      <c r="AE24" s="71"/>
      <c r="AF24" s="115"/>
      <c r="AG24" s="115"/>
      <c r="AH24" s="115"/>
      <c r="AI24" s="115"/>
      <c r="AJ24" s="11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s="70" customFormat="1" ht="24.75" customHeight="1">
      <c r="A25" s="155" t="s">
        <v>9</v>
      </c>
      <c r="B25" s="155"/>
      <c r="C25" s="156"/>
      <c r="D25" s="155" t="s">
        <v>12</v>
      </c>
      <c r="E25" s="155"/>
      <c r="F25" s="155"/>
      <c r="G25" s="155"/>
      <c r="H25" s="41"/>
      <c r="I25" s="41"/>
      <c r="J25" s="41"/>
      <c r="K25" s="118"/>
      <c r="L25" s="36"/>
      <c r="M25" s="36"/>
      <c r="N25" s="36"/>
      <c r="O25" s="36"/>
      <c r="P25" s="36"/>
      <c r="Q25" s="36"/>
      <c r="R25" s="133"/>
      <c r="S25" s="13"/>
      <c r="T25" s="13"/>
      <c r="U25" s="7"/>
      <c r="V25" s="7"/>
      <c r="W25" s="13"/>
      <c r="X25" s="4"/>
      <c r="Y25" s="4"/>
      <c r="Z25" s="4"/>
      <c r="AA25" s="13"/>
      <c r="AB25" s="13"/>
      <c r="AC25" s="71"/>
      <c r="AD25" s="71"/>
      <c r="AE25" s="71"/>
      <c r="AF25" s="115"/>
      <c r="AG25" s="115"/>
      <c r="AH25" s="115"/>
      <c r="AI25" s="115"/>
      <c r="AJ25" s="11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s="70" customFormat="1" ht="24.75" customHeight="1">
      <c r="A26" s="183" t="s">
        <v>2</v>
      </c>
      <c r="B26" s="183"/>
      <c r="C26" s="65" t="s">
        <v>37</v>
      </c>
      <c r="D26" s="116" t="s">
        <v>8</v>
      </c>
      <c r="E26" s="181" t="s">
        <v>40</v>
      </c>
      <c r="F26" s="181"/>
      <c r="G26" s="181"/>
      <c r="H26" s="41"/>
      <c r="I26" s="41"/>
      <c r="J26" s="41"/>
      <c r="K26" s="118"/>
      <c r="L26" s="137"/>
      <c r="M26" s="137"/>
      <c r="N26" s="137"/>
      <c r="O26" s="137"/>
      <c r="P26" s="137"/>
      <c r="Q26" s="137"/>
      <c r="R26" s="137"/>
      <c r="S26" s="39"/>
      <c r="T26" s="13"/>
      <c r="U26" s="7"/>
      <c r="V26" s="7"/>
      <c r="W26" s="39"/>
      <c r="X26" s="142"/>
      <c r="Y26" s="142"/>
      <c r="Z26" s="142"/>
      <c r="AA26" s="13"/>
      <c r="AB26" s="13"/>
      <c r="AC26" s="71"/>
      <c r="AD26" s="71"/>
      <c r="AE26" s="71"/>
      <c r="AF26" s="115"/>
      <c r="AG26" s="115"/>
      <c r="AH26" s="115"/>
      <c r="AI26" s="115"/>
      <c r="AJ26" s="11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s="70" customFormat="1" ht="24.75" customHeight="1">
      <c r="A27" s="183" t="s">
        <v>3</v>
      </c>
      <c r="B27" s="183"/>
      <c r="C27" s="66" t="s">
        <v>38</v>
      </c>
      <c r="D27" s="116" t="s">
        <v>10</v>
      </c>
      <c r="E27" s="181" t="s">
        <v>13</v>
      </c>
      <c r="F27" s="181"/>
      <c r="G27" s="181"/>
      <c r="H27" s="41"/>
      <c r="I27" s="41"/>
      <c r="J27" s="41"/>
      <c r="K27" s="118"/>
      <c r="L27" s="41"/>
      <c r="M27" s="41"/>
      <c r="N27" s="41"/>
      <c r="O27" s="41"/>
      <c r="P27" s="41"/>
      <c r="Q27" s="41"/>
      <c r="R27" s="41"/>
      <c r="S27" s="40"/>
      <c r="T27" s="13"/>
      <c r="U27" s="7"/>
      <c r="V27" s="7"/>
      <c r="W27" s="40"/>
      <c r="X27" s="142"/>
      <c r="Y27" s="142"/>
      <c r="Z27" s="142"/>
      <c r="AA27" s="115"/>
      <c r="AB27" s="115"/>
      <c r="AC27" s="71"/>
      <c r="AD27" s="71"/>
      <c r="AE27" s="71"/>
      <c r="AF27" s="115"/>
      <c r="AG27" s="115"/>
      <c r="AH27" s="115"/>
      <c r="AI27" s="115"/>
      <c r="AJ27" s="11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s="70" customFormat="1" ht="24.75" customHeight="1">
      <c r="A28" s="183" t="s">
        <v>4</v>
      </c>
      <c r="B28" s="183"/>
      <c r="C28" s="67" t="s">
        <v>20</v>
      </c>
      <c r="D28" s="116" t="s">
        <v>11</v>
      </c>
      <c r="E28" s="182" t="s">
        <v>14</v>
      </c>
      <c r="F28" s="182"/>
      <c r="G28" s="182"/>
      <c r="H28" s="41"/>
      <c r="I28" s="41"/>
      <c r="J28" s="41"/>
      <c r="K28" s="118"/>
      <c r="L28" s="41"/>
      <c r="M28" s="41"/>
      <c r="N28" s="41"/>
      <c r="O28" s="41"/>
      <c r="P28" s="41"/>
      <c r="Q28" s="41"/>
      <c r="R28" s="41"/>
      <c r="S28" s="40"/>
      <c r="T28" s="13"/>
      <c r="U28" s="7"/>
      <c r="V28" s="7"/>
      <c r="W28" s="40"/>
      <c r="X28" s="142"/>
      <c r="Y28" s="142"/>
      <c r="Z28" s="142"/>
      <c r="AA28" s="115"/>
      <c r="AB28" s="115"/>
      <c r="AC28" s="71"/>
      <c r="AD28" s="71"/>
      <c r="AE28" s="71"/>
      <c r="AF28" s="115"/>
      <c r="AG28" s="115"/>
      <c r="AH28" s="115"/>
      <c r="AI28" s="115"/>
      <c r="AJ28" s="11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s="70" customFormat="1" ht="24.75" customHeight="1">
      <c r="A29" s="183" t="s">
        <v>5</v>
      </c>
      <c r="B29" s="183"/>
      <c r="C29" s="32" t="s">
        <v>19</v>
      </c>
      <c r="D29" s="39"/>
      <c r="E29" s="39"/>
      <c r="F29" s="39"/>
      <c r="G29" s="39"/>
      <c r="H29" s="41"/>
      <c r="I29" s="41"/>
      <c r="J29" s="41"/>
      <c r="K29" s="118"/>
      <c r="L29" s="118"/>
      <c r="M29" s="118"/>
      <c r="N29" s="118"/>
      <c r="O29" s="118"/>
      <c r="P29" s="118"/>
      <c r="Q29" s="118"/>
      <c r="R29" s="118"/>
      <c r="S29" s="115"/>
      <c r="T29" s="13"/>
      <c r="U29" s="7"/>
      <c r="V29" s="7"/>
      <c r="W29" s="115"/>
      <c r="X29" s="142"/>
      <c r="Y29" s="142"/>
      <c r="Z29" s="142"/>
      <c r="AA29" s="115"/>
      <c r="AB29" s="115"/>
      <c r="AC29" s="71"/>
      <c r="AD29" s="71"/>
      <c r="AE29" s="71"/>
      <c r="AF29" s="115"/>
      <c r="AG29" s="115"/>
      <c r="AH29" s="115"/>
      <c r="AI29" s="115"/>
      <c r="AJ29" s="11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s="70" customFormat="1" ht="12.75" customHeight="1">
      <c r="A30" s="115"/>
      <c r="B30" s="115"/>
      <c r="C30" s="71"/>
      <c r="D30" s="71"/>
      <c r="E30" s="71"/>
      <c r="F30" s="71"/>
      <c r="G30" s="71"/>
      <c r="H30" s="41"/>
      <c r="I30" s="41"/>
      <c r="J30" s="41"/>
      <c r="K30" s="118"/>
      <c r="L30" s="118"/>
      <c r="M30" s="118"/>
      <c r="N30" s="118"/>
      <c r="O30" s="118"/>
      <c r="P30" s="118"/>
      <c r="Q30" s="118"/>
      <c r="R30" s="118"/>
      <c r="S30" s="115"/>
      <c r="T30" s="13"/>
      <c r="U30" s="7"/>
      <c r="V30" s="7"/>
      <c r="W30" s="115"/>
      <c r="X30" s="142"/>
      <c r="Y30" s="142"/>
      <c r="Z30" s="142"/>
      <c r="AA30" s="115"/>
      <c r="AB30" s="115"/>
      <c r="AC30" s="71"/>
      <c r="AD30" s="71"/>
      <c r="AE30" s="71"/>
      <c r="AF30" s="115"/>
      <c r="AG30" s="115"/>
      <c r="AH30" s="115"/>
      <c r="AI30" s="115"/>
      <c r="AJ30" s="11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s="70" customFormat="1" ht="30.75" customHeight="1">
      <c r="A31" s="180" t="s">
        <v>6</v>
      </c>
      <c r="B31" s="180"/>
      <c r="C31" s="40"/>
      <c r="D31" s="40"/>
      <c r="E31" s="40"/>
      <c r="F31" s="40"/>
      <c r="G31" s="40"/>
      <c r="H31" s="41"/>
      <c r="I31" s="41"/>
      <c r="J31" s="41"/>
      <c r="K31" s="118"/>
      <c r="L31" s="118"/>
      <c r="M31" s="118"/>
      <c r="N31" s="118"/>
      <c r="O31" s="118"/>
      <c r="P31" s="118"/>
      <c r="Q31" s="118"/>
      <c r="R31" s="118"/>
      <c r="S31" s="115"/>
      <c r="T31" s="13"/>
      <c r="U31" s="7"/>
      <c r="V31" s="7"/>
      <c r="W31" s="115"/>
      <c r="X31" s="142"/>
      <c r="Y31" s="142"/>
      <c r="Z31" s="142"/>
      <c r="AA31" s="115"/>
      <c r="AB31" s="115"/>
      <c r="AC31" s="71"/>
      <c r="AD31" s="71"/>
      <c r="AE31" s="71"/>
      <c r="AF31" s="115"/>
      <c r="AG31" s="115"/>
      <c r="AH31" s="115"/>
      <c r="AI31" s="115"/>
      <c r="AJ31" s="11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>
      <c r="U32" s="115"/>
    </row>
    <row r="33" spans="21:21">
      <c r="U33" s="115"/>
    </row>
    <row r="34" spans="21:21">
      <c r="U34" s="115"/>
    </row>
  </sheetData>
  <mergeCells count="35">
    <mergeCell ref="A29:B29"/>
    <mergeCell ref="A31:B31"/>
    <mergeCell ref="E26:G26"/>
    <mergeCell ref="A27:B27"/>
    <mergeCell ref="E27:G27"/>
    <mergeCell ref="A28:B28"/>
    <mergeCell ref="E28:G28"/>
    <mergeCell ref="A26:B26"/>
    <mergeCell ref="A24:G24"/>
    <mergeCell ref="A25:C25"/>
    <mergeCell ref="D25:G25"/>
    <mergeCell ref="G6:G7"/>
    <mergeCell ref="D6:D7"/>
    <mergeCell ref="E6:E7"/>
    <mergeCell ref="F6:F7"/>
    <mergeCell ref="A8:X8"/>
    <mergeCell ref="A12:X12"/>
    <mergeCell ref="A14:X14"/>
    <mergeCell ref="A6:A7"/>
    <mergeCell ref="B6:B7"/>
    <mergeCell ref="C6:C7"/>
    <mergeCell ref="A19:X19"/>
    <mergeCell ref="A21:X21"/>
    <mergeCell ref="A17:X17"/>
    <mergeCell ref="A1:A2"/>
    <mergeCell ref="T1:X1"/>
    <mergeCell ref="T2:X2"/>
    <mergeCell ref="X6:X7"/>
    <mergeCell ref="M6:N7"/>
    <mergeCell ref="S6:T7"/>
    <mergeCell ref="U6:U7"/>
    <mergeCell ref="V6:W6"/>
    <mergeCell ref="B1:S2"/>
    <mergeCell ref="O6:R6"/>
    <mergeCell ref="H6:L6"/>
  </mergeCells>
  <conditionalFormatting sqref="T24:V30 U22:W22 U20:W20 T18:U22 V17:W22 N18:N22 N15:N16 T15:U16 V14:W14 T13:U13 V12:W12 N13 V8:W10 N9:N11 T9:W11 U8:U18">
    <cfRule type="cellIs" dxfId="875" priority="481" stopIfTrue="1" operator="equal">
      <formula>"C"</formula>
    </cfRule>
    <cfRule type="cellIs" dxfId="874" priority="482" stopIfTrue="1" operator="equal">
      <formula>"C"</formula>
    </cfRule>
    <cfRule type="cellIs" dxfId="873" priority="483" stopIfTrue="1" operator="equal">
      <formula>"B"</formula>
    </cfRule>
    <cfRule type="cellIs" dxfId="872" priority="484" stopIfTrue="1" operator="equal">
      <formula>"A"</formula>
    </cfRule>
  </conditionalFormatting>
  <conditionalFormatting sqref="V18:W18">
    <cfRule type="cellIs" dxfId="871" priority="229" stopIfTrue="1" operator="equal">
      <formula>"C"</formula>
    </cfRule>
    <cfRule type="cellIs" dxfId="870" priority="230" stopIfTrue="1" operator="equal">
      <formula>"C"</formula>
    </cfRule>
    <cfRule type="cellIs" dxfId="869" priority="231" stopIfTrue="1" operator="equal">
      <formula>"B"</formula>
    </cfRule>
    <cfRule type="cellIs" dxfId="868" priority="232" stopIfTrue="1" operator="equal">
      <formula>"A"</formula>
    </cfRule>
  </conditionalFormatting>
  <conditionalFormatting sqref="V18:W18">
    <cfRule type="cellIs" dxfId="867" priority="225" stopIfTrue="1" operator="equal">
      <formula>"C"</formula>
    </cfRule>
    <cfRule type="cellIs" dxfId="866" priority="226" stopIfTrue="1" operator="equal">
      <formula>"C"</formula>
    </cfRule>
    <cfRule type="cellIs" dxfId="865" priority="227" stopIfTrue="1" operator="equal">
      <formula>"B"</formula>
    </cfRule>
    <cfRule type="cellIs" dxfId="864" priority="228" stopIfTrue="1" operator="equal">
      <formula>"A"</formula>
    </cfRule>
  </conditionalFormatting>
  <conditionalFormatting sqref="V18:W18">
    <cfRule type="cellIs" dxfId="863" priority="221" stopIfTrue="1" operator="equal">
      <formula>"C"</formula>
    </cfRule>
    <cfRule type="cellIs" dxfId="862" priority="222" stopIfTrue="1" operator="equal">
      <formula>"C"</formula>
    </cfRule>
    <cfRule type="cellIs" dxfId="861" priority="223" stopIfTrue="1" operator="equal">
      <formula>"B"</formula>
    </cfRule>
    <cfRule type="cellIs" dxfId="860" priority="224" stopIfTrue="1" operator="equal">
      <formula>"A"</formula>
    </cfRule>
  </conditionalFormatting>
  <conditionalFormatting sqref="V20:W20">
    <cfRule type="cellIs" dxfId="859" priority="217" stopIfTrue="1" operator="equal">
      <formula>"C"</formula>
    </cfRule>
    <cfRule type="cellIs" dxfId="858" priority="218" stopIfTrue="1" operator="equal">
      <formula>"C"</formula>
    </cfRule>
    <cfRule type="cellIs" dxfId="857" priority="219" stopIfTrue="1" operator="equal">
      <formula>"B"</formula>
    </cfRule>
    <cfRule type="cellIs" dxfId="856" priority="220" stopIfTrue="1" operator="equal">
      <formula>"A"</formula>
    </cfRule>
  </conditionalFormatting>
  <conditionalFormatting sqref="V20:W20">
    <cfRule type="cellIs" dxfId="855" priority="213" stopIfTrue="1" operator="equal">
      <formula>"C"</formula>
    </cfRule>
    <cfRule type="cellIs" dxfId="854" priority="214" stopIfTrue="1" operator="equal">
      <formula>"C"</formula>
    </cfRule>
    <cfRule type="cellIs" dxfId="853" priority="215" stopIfTrue="1" operator="equal">
      <formula>"B"</formula>
    </cfRule>
    <cfRule type="cellIs" dxfId="852" priority="216" stopIfTrue="1" operator="equal">
      <formula>"A"</formula>
    </cfRule>
  </conditionalFormatting>
  <conditionalFormatting sqref="V20:W20">
    <cfRule type="cellIs" dxfId="851" priority="209" stopIfTrue="1" operator="equal">
      <formula>"C"</formula>
    </cfRule>
    <cfRule type="cellIs" dxfId="850" priority="210" stopIfTrue="1" operator="equal">
      <formula>"C"</formula>
    </cfRule>
    <cfRule type="cellIs" dxfId="849" priority="211" stopIfTrue="1" operator="equal">
      <formula>"B"</formula>
    </cfRule>
    <cfRule type="cellIs" dxfId="848" priority="212" stopIfTrue="1" operator="equal">
      <formula>"A"</formula>
    </cfRule>
  </conditionalFormatting>
  <conditionalFormatting sqref="V22:W22">
    <cfRule type="cellIs" dxfId="847" priority="205" stopIfTrue="1" operator="equal">
      <formula>"C"</formula>
    </cfRule>
    <cfRule type="cellIs" dxfId="846" priority="206" stopIfTrue="1" operator="equal">
      <formula>"C"</formula>
    </cfRule>
    <cfRule type="cellIs" dxfId="845" priority="207" stopIfTrue="1" operator="equal">
      <formula>"B"</formula>
    </cfRule>
    <cfRule type="cellIs" dxfId="844" priority="208" stopIfTrue="1" operator="equal">
      <formula>"A"</formula>
    </cfRule>
  </conditionalFormatting>
  <conditionalFormatting sqref="V22:W22">
    <cfRule type="cellIs" dxfId="843" priority="201" stopIfTrue="1" operator="equal">
      <formula>"C"</formula>
    </cfRule>
    <cfRule type="cellIs" dxfId="842" priority="202" stopIfTrue="1" operator="equal">
      <formula>"C"</formula>
    </cfRule>
    <cfRule type="cellIs" dxfId="841" priority="203" stopIfTrue="1" operator="equal">
      <formula>"B"</formula>
    </cfRule>
    <cfRule type="cellIs" dxfId="840" priority="204" stopIfTrue="1" operator="equal">
      <formula>"A"</formula>
    </cfRule>
  </conditionalFormatting>
  <conditionalFormatting sqref="V22:W22">
    <cfRule type="cellIs" dxfId="839" priority="197" stopIfTrue="1" operator="equal">
      <formula>"C"</formula>
    </cfRule>
    <cfRule type="cellIs" dxfId="838" priority="198" stopIfTrue="1" operator="equal">
      <formula>"C"</formula>
    </cfRule>
    <cfRule type="cellIs" dxfId="837" priority="199" stopIfTrue="1" operator="equal">
      <formula>"B"</formula>
    </cfRule>
    <cfRule type="cellIs" dxfId="836" priority="200" stopIfTrue="1" operator="equal">
      <formula>"A"</formula>
    </cfRule>
  </conditionalFormatting>
  <conditionalFormatting sqref="V18:W18">
    <cfRule type="cellIs" dxfId="835" priority="81" stopIfTrue="1" operator="equal">
      <formula>"C"</formula>
    </cfRule>
    <cfRule type="cellIs" dxfId="834" priority="82" stopIfTrue="1" operator="equal">
      <formula>"C"</formula>
    </cfRule>
    <cfRule type="cellIs" dxfId="833" priority="83" stopIfTrue="1" operator="equal">
      <formula>"B"</formula>
    </cfRule>
    <cfRule type="cellIs" dxfId="832" priority="84" stopIfTrue="1" operator="equal">
      <formula>"A"</formula>
    </cfRule>
  </conditionalFormatting>
  <conditionalFormatting sqref="V18:W18">
    <cfRule type="cellIs" dxfId="831" priority="77" stopIfTrue="1" operator="equal">
      <formula>"C"</formula>
    </cfRule>
    <cfRule type="cellIs" dxfId="830" priority="78" stopIfTrue="1" operator="equal">
      <formula>"C"</formula>
    </cfRule>
    <cfRule type="cellIs" dxfId="829" priority="79" stopIfTrue="1" operator="equal">
      <formula>"B"</formula>
    </cfRule>
    <cfRule type="cellIs" dxfId="828" priority="80" stopIfTrue="1" operator="equal">
      <formula>"A"</formula>
    </cfRule>
  </conditionalFormatting>
  <conditionalFormatting sqref="V18:W18">
    <cfRule type="cellIs" dxfId="827" priority="73" stopIfTrue="1" operator="equal">
      <formula>"C"</formula>
    </cfRule>
    <cfRule type="cellIs" dxfId="826" priority="74" stopIfTrue="1" operator="equal">
      <formula>"C"</formula>
    </cfRule>
    <cfRule type="cellIs" dxfId="825" priority="75" stopIfTrue="1" operator="equal">
      <formula>"B"</formula>
    </cfRule>
    <cfRule type="cellIs" dxfId="824" priority="76" stopIfTrue="1" operator="equal">
      <formula>"A"</formula>
    </cfRule>
  </conditionalFormatting>
  <conditionalFormatting sqref="V18:W18">
    <cfRule type="cellIs" dxfId="823" priority="69" stopIfTrue="1" operator="equal">
      <formula>"C"</formula>
    </cfRule>
    <cfRule type="cellIs" dxfId="822" priority="70" stopIfTrue="1" operator="equal">
      <formula>"C"</formula>
    </cfRule>
    <cfRule type="cellIs" dxfId="821" priority="71" stopIfTrue="1" operator="equal">
      <formula>"B"</formula>
    </cfRule>
    <cfRule type="cellIs" dxfId="820" priority="72" stopIfTrue="1" operator="equal">
      <formula>"A"</formula>
    </cfRule>
  </conditionalFormatting>
  <conditionalFormatting sqref="V18:W18">
    <cfRule type="cellIs" dxfId="819" priority="65" stopIfTrue="1" operator="equal">
      <formula>"C"</formula>
    </cfRule>
    <cfRule type="cellIs" dxfId="818" priority="66" stopIfTrue="1" operator="equal">
      <formula>"C"</formula>
    </cfRule>
    <cfRule type="cellIs" dxfId="817" priority="67" stopIfTrue="1" operator="equal">
      <formula>"B"</formula>
    </cfRule>
    <cfRule type="cellIs" dxfId="816" priority="68" stopIfTrue="1" operator="equal">
      <formula>"A"</formula>
    </cfRule>
  </conditionalFormatting>
  <conditionalFormatting sqref="V18:W18">
    <cfRule type="cellIs" dxfId="815" priority="61" stopIfTrue="1" operator="equal">
      <formula>"C"</formula>
    </cfRule>
    <cfRule type="cellIs" dxfId="814" priority="62" stopIfTrue="1" operator="equal">
      <formula>"C"</formula>
    </cfRule>
    <cfRule type="cellIs" dxfId="813" priority="63" stopIfTrue="1" operator="equal">
      <formula>"B"</formula>
    </cfRule>
    <cfRule type="cellIs" dxfId="812" priority="64" stopIfTrue="1" operator="equal">
      <formula>"A"</formula>
    </cfRule>
  </conditionalFormatting>
  <conditionalFormatting sqref="V18:W18">
    <cfRule type="cellIs" dxfId="811" priority="57" stopIfTrue="1" operator="equal">
      <formula>"C"</formula>
    </cfRule>
    <cfRule type="cellIs" dxfId="810" priority="58" stopIfTrue="1" operator="equal">
      <formula>"C"</formula>
    </cfRule>
    <cfRule type="cellIs" dxfId="809" priority="59" stopIfTrue="1" operator="equal">
      <formula>"B"</formula>
    </cfRule>
    <cfRule type="cellIs" dxfId="808" priority="60" stopIfTrue="1" operator="equal">
      <formula>"A"</formula>
    </cfRule>
  </conditionalFormatting>
  <conditionalFormatting sqref="V20:W20">
    <cfRule type="cellIs" dxfId="807" priority="53" stopIfTrue="1" operator="equal">
      <formula>"C"</formula>
    </cfRule>
    <cfRule type="cellIs" dxfId="806" priority="54" stopIfTrue="1" operator="equal">
      <formula>"C"</formula>
    </cfRule>
    <cfRule type="cellIs" dxfId="805" priority="55" stopIfTrue="1" operator="equal">
      <formula>"B"</formula>
    </cfRule>
    <cfRule type="cellIs" dxfId="804" priority="56" stopIfTrue="1" operator="equal">
      <formula>"A"</formula>
    </cfRule>
  </conditionalFormatting>
  <conditionalFormatting sqref="V20:W20">
    <cfRule type="cellIs" dxfId="803" priority="49" stopIfTrue="1" operator="equal">
      <formula>"C"</formula>
    </cfRule>
    <cfRule type="cellIs" dxfId="802" priority="50" stopIfTrue="1" operator="equal">
      <formula>"C"</formula>
    </cfRule>
    <cfRule type="cellIs" dxfId="801" priority="51" stopIfTrue="1" operator="equal">
      <formula>"B"</formula>
    </cfRule>
    <cfRule type="cellIs" dxfId="800" priority="52" stopIfTrue="1" operator="equal">
      <formula>"A"</formula>
    </cfRule>
  </conditionalFormatting>
  <conditionalFormatting sqref="V20:W20">
    <cfRule type="cellIs" dxfId="799" priority="45" stopIfTrue="1" operator="equal">
      <formula>"C"</formula>
    </cfRule>
    <cfRule type="cellIs" dxfId="798" priority="46" stopIfTrue="1" operator="equal">
      <formula>"C"</formula>
    </cfRule>
    <cfRule type="cellIs" dxfId="797" priority="47" stopIfTrue="1" operator="equal">
      <formula>"B"</formula>
    </cfRule>
    <cfRule type="cellIs" dxfId="796" priority="48" stopIfTrue="1" operator="equal">
      <formula>"A"</formula>
    </cfRule>
  </conditionalFormatting>
  <conditionalFormatting sqref="V20:W20">
    <cfRule type="cellIs" dxfId="795" priority="41" stopIfTrue="1" operator="equal">
      <formula>"C"</formula>
    </cfRule>
    <cfRule type="cellIs" dxfId="794" priority="42" stopIfTrue="1" operator="equal">
      <formula>"C"</formula>
    </cfRule>
    <cfRule type="cellIs" dxfId="793" priority="43" stopIfTrue="1" operator="equal">
      <formula>"B"</formula>
    </cfRule>
    <cfRule type="cellIs" dxfId="792" priority="44" stopIfTrue="1" operator="equal">
      <formula>"A"</formula>
    </cfRule>
  </conditionalFormatting>
  <conditionalFormatting sqref="V20:W20">
    <cfRule type="cellIs" dxfId="791" priority="37" stopIfTrue="1" operator="equal">
      <formula>"C"</formula>
    </cfRule>
    <cfRule type="cellIs" dxfId="790" priority="38" stopIfTrue="1" operator="equal">
      <formula>"C"</formula>
    </cfRule>
    <cfRule type="cellIs" dxfId="789" priority="39" stopIfTrue="1" operator="equal">
      <formula>"B"</formula>
    </cfRule>
    <cfRule type="cellIs" dxfId="788" priority="40" stopIfTrue="1" operator="equal">
      <formula>"A"</formula>
    </cfRule>
  </conditionalFormatting>
  <conditionalFormatting sqref="V20:W20">
    <cfRule type="cellIs" dxfId="787" priority="33" stopIfTrue="1" operator="equal">
      <formula>"C"</formula>
    </cfRule>
    <cfRule type="cellIs" dxfId="786" priority="34" stopIfTrue="1" operator="equal">
      <formula>"C"</formula>
    </cfRule>
    <cfRule type="cellIs" dxfId="785" priority="35" stopIfTrue="1" operator="equal">
      <formula>"B"</formula>
    </cfRule>
    <cfRule type="cellIs" dxfId="784" priority="36" stopIfTrue="1" operator="equal">
      <formula>"A"</formula>
    </cfRule>
  </conditionalFormatting>
  <conditionalFormatting sqref="V20:W20">
    <cfRule type="cellIs" dxfId="783" priority="29" stopIfTrue="1" operator="equal">
      <formula>"C"</formula>
    </cfRule>
    <cfRule type="cellIs" dxfId="782" priority="30" stopIfTrue="1" operator="equal">
      <formula>"C"</formula>
    </cfRule>
    <cfRule type="cellIs" dxfId="781" priority="31" stopIfTrue="1" operator="equal">
      <formula>"B"</formula>
    </cfRule>
    <cfRule type="cellIs" dxfId="780" priority="32" stopIfTrue="1" operator="equal">
      <formula>"A"</formula>
    </cfRule>
  </conditionalFormatting>
  <conditionalFormatting sqref="V22:W22">
    <cfRule type="cellIs" dxfId="779" priority="25" stopIfTrue="1" operator="equal">
      <formula>"C"</formula>
    </cfRule>
    <cfRule type="cellIs" dxfId="778" priority="26" stopIfTrue="1" operator="equal">
      <formula>"C"</formula>
    </cfRule>
    <cfRule type="cellIs" dxfId="777" priority="27" stopIfTrue="1" operator="equal">
      <formula>"B"</formula>
    </cfRule>
    <cfRule type="cellIs" dxfId="776" priority="28" stopIfTrue="1" operator="equal">
      <formula>"A"</formula>
    </cfRule>
  </conditionalFormatting>
  <conditionalFormatting sqref="V22:W22">
    <cfRule type="cellIs" dxfId="775" priority="21" stopIfTrue="1" operator="equal">
      <formula>"C"</formula>
    </cfRule>
    <cfRule type="cellIs" dxfId="774" priority="22" stopIfTrue="1" operator="equal">
      <formula>"C"</formula>
    </cfRule>
    <cfRule type="cellIs" dxfId="773" priority="23" stopIfTrue="1" operator="equal">
      <formula>"B"</formula>
    </cfRule>
    <cfRule type="cellIs" dxfId="772" priority="24" stopIfTrue="1" operator="equal">
      <formula>"A"</formula>
    </cfRule>
  </conditionalFormatting>
  <conditionalFormatting sqref="V22:W22">
    <cfRule type="cellIs" dxfId="771" priority="17" stopIfTrue="1" operator="equal">
      <formula>"C"</formula>
    </cfRule>
    <cfRule type="cellIs" dxfId="770" priority="18" stopIfTrue="1" operator="equal">
      <formula>"C"</formula>
    </cfRule>
    <cfRule type="cellIs" dxfId="769" priority="19" stopIfTrue="1" operator="equal">
      <formula>"B"</formula>
    </cfRule>
    <cfRule type="cellIs" dxfId="768" priority="20" stopIfTrue="1" operator="equal">
      <formula>"A"</formula>
    </cfRule>
  </conditionalFormatting>
  <conditionalFormatting sqref="V22:W22">
    <cfRule type="cellIs" dxfId="767" priority="13" stopIfTrue="1" operator="equal">
      <formula>"C"</formula>
    </cfRule>
    <cfRule type="cellIs" dxfId="766" priority="14" stopIfTrue="1" operator="equal">
      <formula>"C"</formula>
    </cfRule>
    <cfRule type="cellIs" dxfId="765" priority="15" stopIfTrue="1" operator="equal">
      <formula>"B"</formula>
    </cfRule>
    <cfRule type="cellIs" dxfId="764" priority="16" stopIfTrue="1" operator="equal">
      <formula>"A"</formula>
    </cfRule>
  </conditionalFormatting>
  <conditionalFormatting sqref="V22:W22">
    <cfRule type="cellIs" dxfId="763" priority="9" stopIfTrue="1" operator="equal">
      <formula>"C"</formula>
    </cfRule>
    <cfRule type="cellIs" dxfId="762" priority="10" stopIfTrue="1" operator="equal">
      <formula>"C"</formula>
    </cfRule>
    <cfRule type="cellIs" dxfId="761" priority="11" stopIfTrue="1" operator="equal">
      <formula>"B"</formula>
    </cfRule>
    <cfRule type="cellIs" dxfId="760" priority="12" stopIfTrue="1" operator="equal">
      <formula>"A"</formula>
    </cfRule>
  </conditionalFormatting>
  <conditionalFormatting sqref="V22:W22">
    <cfRule type="cellIs" dxfId="759" priority="5" stopIfTrue="1" operator="equal">
      <formula>"C"</formula>
    </cfRule>
    <cfRule type="cellIs" dxfId="758" priority="6" stopIfTrue="1" operator="equal">
      <formula>"C"</formula>
    </cfRule>
    <cfRule type="cellIs" dxfId="757" priority="7" stopIfTrue="1" operator="equal">
      <formula>"B"</formula>
    </cfRule>
    <cfRule type="cellIs" dxfId="756" priority="8" stopIfTrue="1" operator="equal">
      <formula>"A"</formula>
    </cfRule>
  </conditionalFormatting>
  <conditionalFormatting sqref="V22:W22">
    <cfRule type="cellIs" dxfId="755" priority="1" stopIfTrue="1" operator="equal">
      <formula>"C"</formula>
    </cfRule>
    <cfRule type="cellIs" dxfId="754" priority="2" stopIfTrue="1" operator="equal">
      <formula>"C"</formula>
    </cfRule>
    <cfRule type="cellIs" dxfId="753" priority="3" stopIfTrue="1" operator="equal">
      <formula>"B"</formula>
    </cfRule>
    <cfRule type="cellIs" dxfId="752" priority="4" stopIfTrue="1" operator="equal">
      <formula>"A"</formula>
    </cfRule>
  </conditionalFormatting>
  <dataValidations count="2">
    <dataValidation type="list" allowBlank="1" showInputMessage="1" showErrorMessage="1" sqref="N22 T22 T20 N20 U21 U19 N15:N16 T15:T16 N9:N11 U8:U17 T9:T11 N13 T13 N18 T18">
      <formula1>"A, B, C"</formula1>
    </dataValidation>
    <dataValidation type="list" allowBlank="1" showInputMessage="1" showErrorMessage="1" sqref="O22:R22 H22:L22 O20:R20 H20:L20 H15:L16 O15:R16 O9:R11 H9:L11 H13:L13 O13:R13 H18:L18 O18:R18">
      <formula1>"0, 1, 2, 3"</formula1>
    </dataValidation>
  </dataValidations>
  <printOptions horizontalCentered="1" verticalCentered="1"/>
  <pageMargins left="0.7" right="0.7" top="0.75" bottom="0.75" header="0.3" footer="0.3"/>
  <pageSetup paperSize="9" scale="38" orientation="landscape" horizontalDpi="4294967293" r:id="rId1"/>
  <headerFooter alignWithMargins="0"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30"/>
  <sheetViews>
    <sheetView view="pageBreakPreview" zoomScale="90" zoomScaleSheetLayoutView="90" workbookViewId="0">
      <selection activeCell="A14" sqref="A14:G14"/>
    </sheetView>
  </sheetViews>
  <sheetFormatPr baseColWidth="10" defaultRowHeight="12.75"/>
  <cols>
    <col min="1" max="1" width="12.28515625" style="9" customWidth="1"/>
    <col min="2" max="2" width="30.85546875" style="9" customWidth="1"/>
    <col min="3" max="3" width="19.5703125" customWidth="1"/>
    <col min="4" max="4" width="25.28515625" customWidth="1"/>
    <col min="5" max="5" width="23.42578125" customWidth="1"/>
    <col min="6" max="6" width="19.42578125" customWidth="1"/>
    <col min="7" max="7" width="23.5703125" customWidth="1"/>
    <col min="9" max="9" width="12.85546875" customWidth="1"/>
    <col min="21" max="21" width="15.28515625" customWidth="1"/>
    <col min="23" max="23" width="8" customWidth="1"/>
    <col min="24" max="24" width="7.85546875" customWidth="1"/>
    <col min="25" max="26" width="11.42578125" customWidth="1"/>
    <col min="27" max="27" width="13.7109375" customWidth="1"/>
  </cols>
  <sheetData>
    <row r="1" spans="1:52" ht="24.75" customHeight="1">
      <c r="A1" s="187"/>
      <c r="B1" s="172" t="s">
        <v>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  <c r="W1" s="157" t="s">
        <v>21</v>
      </c>
      <c r="X1" s="158"/>
      <c r="Y1" s="158"/>
      <c r="Z1" s="158"/>
      <c r="AA1" s="159"/>
    </row>
    <row r="2" spans="1:52" ht="27" customHeight="1">
      <c r="A2" s="188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57">
        <v>3</v>
      </c>
      <c r="X2" s="158"/>
      <c r="Y2" s="158"/>
      <c r="Z2" s="158"/>
      <c r="AA2" s="159"/>
    </row>
    <row r="3" spans="1:52" ht="15.75" customHeight="1">
      <c r="A3" s="31"/>
      <c r="B3" s="31"/>
      <c r="C3" s="42"/>
      <c r="D3" s="42"/>
      <c r="E3" s="42"/>
      <c r="F3" s="42"/>
      <c r="G3" s="42"/>
      <c r="H3" s="13"/>
      <c r="I3" s="13"/>
      <c r="J3" s="17"/>
      <c r="K3" s="17"/>
      <c r="L3" s="17"/>
      <c r="M3" s="17"/>
      <c r="N3" s="17"/>
      <c r="O3" s="17"/>
      <c r="P3" s="17"/>
      <c r="Q3" s="14"/>
      <c r="R3" s="15"/>
      <c r="S3" s="15"/>
      <c r="T3" s="15"/>
      <c r="U3" s="15"/>
      <c r="V3" s="15"/>
      <c r="W3" s="15"/>
      <c r="X3" s="42"/>
      <c r="Y3" s="50"/>
      <c r="Z3" s="50"/>
      <c r="AA3" s="14"/>
      <c r="AD3" s="2"/>
    </row>
    <row r="4" spans="1:52" ht="25.5" customHeight="1">
      <c r="A4" s="74" t="s">
        <v>15</v>
      </c>
      <c r="B4" s="53" t="s">
        <v>47</v>
      </c>
      <c r="C4" s="75" t="s">
        <v>16</v>
      </c>
      <c r="D4" s="130">
        <v>45917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4"/>
      <c r="R4" s="15"/>
      <c r="S4" s="15"/>
      <c r="T4" s="15"/>
      <c r="U4" s="15"/>
      <c r="V4" s="15"/>
      <c r="W4" s="15"/>
      <c r="X4" s="17"/>
      <c r="Y4" s="46"/>
      <c r="Z4" s="46"/>
      <c r="AA4" s="14"/>
      <c r="AD4" s="2"/>
    </row>
    <row r="5" spans="1:52" s="4" customFormat="1">
      <c r="A5" s="35"/>
      <c r="B5" s="3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/>
      <c r="Y5"/>
      <c r="Z5"/>
      <c r="AA5" s="2"/>
      <c r="AB5" s="2"/>
      <c r="AC5" s="2"/>
      <c r="AD5" s="2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52" s="6" customFormat="1" ht="18.75" customHeight="1">
      <c r="A6" s="168" t="s">
        <v>75</v>
      </c>
      <c r="B6" s="168" t="s">
        <v>76</v>
      </c>
      <c r="C6" s="168" t="s">
        <v>77</v>
      </c>
      <c r="D6" s="168" t="s">
        <v>78</v>
      </c>
      <c r="E6" s="168" t="s">
        <v>79</v>
      </c>
      <c r="F6" s="168" t="s">
        <v>80</v>
      </c>
      <c r="G6" s="168" t="s">
        <v>81</v>
      </c>
      <c r="H6" s="193" t="s">
        <v>0</v>
      </c>
      <c r="I6" s="193"/>
      <c r="J6" s="193"/>
      <c r="K6" s="193"/>
      <c r="L6" s="193"/>
      <c r="M6" s="26"/>
      <c r="N6" s="164" t="s">
        <v>17</v>
      </c>
      <c r="O6" s="165"/>
      <c r="P6" s="193" t="s">
        <v>1</v>
      </c>
      <c r="Q6" s="193"/>
      <c r="R6" s="193"/>
      <c r="S6" s="193"/>
      <c r="T6" s="26"/>
      <c r="U6" s="26"/>
      <c r="V6" s="164" t="s">
        <v>7</v>
      </c>
      <c r="W6" s="165"/>
      <c r="X6" s="168" t="s">
        <v>85</v>
      </c>
      <c r="Y6" s="161" t="s">
        <v>82</v>
      </c>
      <c r="Z6" s="162"/>
      <c r="AA6" s="168" t="s">
        <v>18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52" s="8" customFormat="1" ht="107.25" customHeight="1">
      <c r="A7" s="168"/>
      <c r="B7" s="168"/>
      <c r="C7" s="168"/>
      <c r="D7" s="168"/>
      <c r="E7" s="168"/>
      <c r="F7" s="168"/>
      <c r="G7" s="168"/>
      <c r="H7" s="53" t="s">
        <v>23</v>
      </c>
      <c r="I7" s="53" t="s">
        <v>74</v>
      </c>
      <c r="J7" s="53" t="s">
        <v>26</v>
      </c>
      <c r="K7" s="53" t="s">
        <v>27</v>
      </c>
      <c r="L7" s="53" t="s">
        <v>28</v>
      </c>
      <c r="M7" s="53" t="s">
        <v>30</v>
      </c>
      <c r="N7" s="166"/>
      <c r="O7" s="167"/>
      <c r="P7" s="53" t="s">
        <v>71</v>
      </c>
      <c r="Q7" s="53" t="s">
        <v>31</v>
      </c>
      <c r="R7" s="53" t="s">
        <v>66</v>
      </c>
      <c r="S7" s="53" t="s">
        <v>33</v>
      </c>
      <c r="T7" s="53" t="s">
        <v>34</v>
      </c>
      <c r="U7" s="53" t="s">
        <v>36</v>
      </c>
      <c r="V7" s="166"/>
      <c r="W7" s="167"/>
      <c r="X7" s="168"/>
      <c r="Y7" s="53" t="s">
        <v>83</v>
      </c>
      <c r="Z7" s="53" t="s">
        <v>84</v>
      </c>
      <c r="AA7" s="168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52" s="8" customFormat="1" ht="24" customHeight="1">
      <c r="A8" s="156" t="s">
        <v>48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9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52" s="8" customFormat="1" ht="30.75" customHeight="1">
      <c r="A9" s="47"/>
      <c r="B9" s="84"/>
      <c r="C9" s="45"/>
      <c r="D9" s="45"/>
      <c r="E9" s="47"/>
      <c r="F9" s="85"/>
      <c r="G9" s="124"/>
      <c r="H9" s="51"/>
      <c r="I9" s="51"/>
      <c r="J9" s="51"/>
      <c r="K9" s="51"/>
      <c r="L9" s="51"/>
      <c r="M9" s="51"/>
      <c r="N9" s="103"/>
      <c r="O9" s="105"/>
      <c r="P9" s="51"/>
      <c r="Q9" s="51"/>
      <c r="R9" s="51"/>
      <c r="S9" s="51"/>
      <c r="T9" s="51"/>
      <c r="U9" s="51"/>
      <c r="V9" s="103"/>
      <c r="W9" s="105"/>
      <c r="X9" s="105"/>
      <c r="Y9" s="150"/>
      <c r="Z9" s="108"/>
      <c r="AA9" s="121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52" s="8" customFormat="1" ht="24.6" customHeight="1">
      <c r="A10" s="218" t="s">
        <v>49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20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52" s="8" customFormat="1" ht="55.5" customHeight="1">
      <c r="A11" s="47" t="s">
        <v>336</v>
      </c>
      <c r="B11" s="84" t="s">
        <v>337</v>
      </c>
      <c r="C11" s="45"/>
      <c r="D11" s="45" t="s">
        <v>338</v>
      </c>
      <c r="E11" s="47" t="s">
        <v>339</v>
      </c>
      <c r="F11" s="146">
        <v>393357125776</v>
      </c>
      <c r="G11" s="124" t="s">
        <v>340</v>
      </c>
      <c r="H11" s="51">
        <v>3</v>
      </c>
      <c r="I11" s="51">
        <v>3</v>
      </c>
      <c r="J11" s="51">
        <v>3</v>
      </c>
      <c r="K11" s="51">
        <v>2</v>
      </c>
      <c r="L11" s="51">
        <v>2</v>
      </c>
      <c r="M11" s="51">
        <v>3</v>
      </c>
      <c r="N11" s="103">
        <f>AVERAGE(H11:M11)</f>
        <v>2.6666666666666665</v>
      </c>
      <c r="O11" s="105" t="s">
        <v>8</v>
      </c>
      <c r="P11" s="51">
        <v>3</v>
      </c>
      <c r="Q11" s="51">
        <v>3</v>
      </c>
      <c r="R11" s="51">
        <v>3</v>
      </c>
      <c r="S11" s="51">
        <v>3</v>
      </c>
      <c r="T11" s="51">
        <v>3</v>
      </c>
      <c r="U11" s="51">
        <v>3</v>
      </c>
      <c r="V11" s="103">
        <f>AVERAGE(P11:U11)</f>
        <v>3</v>
      </c>
      <c r="W11" s="105" t="s">
        <v>8</v>
      </c>
      <c r="X11" s="105" t="s">
        <v>8</v>
      </c>
      <c r="Y11" s="150" t="s">
        <v>347</v>
      </c>
      <c r="Z11" s="108">
        <v>45696</v>
      </c>
      <c r="AA11" s="122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52" s="8" customFormat="1" ht="39.75" customHeight="1">
      <c r="A12" s="47" t="s">
        <v>341</v>
      </c>
      <c r="B12" s="84" t="s">
        <v>342</v>
      </c>
      <c r="C12" s="45"/>
      <c r="D12" s="45" t="s">
        <v>343</v>
      </c>
      <c r="E12" s="47" t="s">
        <v>344</v>
      </c>
      <c r="F12" s="146" t="s">
        <v>345</v>
      </c>
      <c r="G12" s="124" t="s">
        <v>346</v>
      </c>
      <c r="H12" s="51">
        <v>3</v>
      </c>
      <c r="I12" s="51">
        <v>3</v>
      </c>
      <c r="J12" s="51">
        <v>3</v>
      </c>
      <c r="K12" s="51">
        <v>2</v>
      </c>
      <c r="L12" s="51">
        <v>2</v>
      </c>
      <c r="M12" s="51">
        <v>3</v>
      </c>
      <c r="N12" s="103">
        <f>AVERAGE(H12:M12)</f>
        <v>2.6666666666666665</v>
      </c>
      <c r="O12" s="105" t="s">
        <v>8</v>
      </c>
      <c r="P12" s="51">
        <v>3</v>
      </c>
      <c r="Q12" s="51">
        <v>3</v>
      </c>
      <c r="R12" s="51">
        <v>3</v>
      </c>
      <c r="S12" s="51">
        <v>3</v>
      </c>
      <c r="T12" s="51">
        <v>1</v>
      </c>
      <c r="U12" s="51">
        <v>3</v>
      </c>
      <c r="V12" s="103">
        <f>AVERAGE(P12:U12)</f>
        <v>2.6666666666666665</v>
      </c>
      <c r="W12" s="105" t="s">
        <v>8</v>
      </c>
      <c r="X12" s="105" t="s">
        <v>8</v>
      </c>
      <c r="Y12" s="150" t="s">
        <v>347</v>
      </c>
      <c r="Z12" s="108">
        <v>45696</v>
      </c>
      <c r="AA12" s="122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52">
      <c r="X13" s="7"/>
      <c r="Y13" s="7"/>
      <c r="Z13" s="13"/>
    </row>
    <row r="14" spans="1:52" s="70" customFormat="1" ht="24.75" customHeight="1">
      <c r="A14" s="156" t="s">
        <v>86</v>
      </c>
      <c r="B14" s="178"/>
      <c r="C14" s="178"/>
      <c r="D14" s="178"/>
      <c r="E14" s="178"/>
      <c r="F14" s="178"/>
      <c r="G14" s="179"/>
      <c r="H14" s="40"/>
      <c r="I14" s="40"/>
      <c r="J14" s="40"/>
      <c r="K14" s="40"/>
      <c r="L14" s="2"/>
      <c r="M14" s="1"/>
      <c r="N14" s="1"/>
      <c r="O14" s="1"/>
      <c r="P14" s="1"/>
      <c r="Q14" s="1"/>
      <c r="R14" s="1"/>
      <c r="S14" s="13"/>
      <c r="T14" s="13"/>
      <c r="U14" s="13"/>
      <c r="V14" s="7"/>
      <c r="W14" s="7"/>
      <c r="X14" s="13"/>
      <c r="Y14" s="54"/>
      <c r="Z14" s="54"/>
      <c r="AA14" s="54"/>
      <c r="AB14" s="13"/>
      <c r="AC14" s="13"/>
      <c r="AD14" s="68"/>
      <c r="AE14" s="68"/>
      <c r="AF14" s="68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s="70" customFormat="1" ht="24.75" customHeight="1">
      <c r="A15" s="155" t="s">
        <v>9</v>
      </c>
      <c r="B15" s="155"/>
      <c r="C15" s="156"/>
      <c r="D15" s="155" t="s">
        <v>12</v>
      </c>
      <c r="E15" s="155"/>
      <c r="F15" s="155"/>
      <c r="G15" s="155"/>
      <c r="H15" s="40"/>
      <c r="I15" s="40"/>
      <c r="J15" s="40"/>
      <c r="K15" s="40"/>
      <c r="L15" s="2"/>
      <c r="S15" s="13"/>
      <c r="T15" s="13"/>
      <c r="U15" s="13"/>
      <c r="V15" s="7"/>
      <c r="W15" s="7"/>
      <c r="X15" s="13"/>
      <c r="Y15" s="54"/>
      <c r="Z15" s="54"/>
      <c r="AA15" s="54"/>
      <c r="AB15" s="13"/>
      <c r="AC15" s="13"/>
      <c r="AD15" s="68"/>
      <c r="AE15" s="68"/>
      <c r="AF15" s="68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s="70" customFormat="1" ht="24.75" customHeight="1">
      <c r="A16" s="183" t="s">
        <v>2</v>
      </c>
      <c r="B16" s="183"/>
      <c r="C16" s="65" t="s">
        <v>37</v>
      </c>
      <c r="D16" s="28" t="s">
        <v>8</v>
      </c>
      <c r="E16" s="181" t="s">
        <v>40</v>
      </c>
      <c r="F16" s="181"/>
      <c r="G16" s="181"/>
      <c r="H16" s="40"/>
      <c r="I16" s="40"/>
      <c r="J16" s="40"/>
      <c r="K16" s="40"/>
      <c r="L16" s="2"/>
      <c r="M16" s="39"/>
      <c r="N16" s="39"/>
      <c r="O16" s="39"/>
      <c r="P16" s="39"/>
      <c r="Q16" s="39"/>
      <c r="R16" s="39"/>
      <c r="S16" s="39"/>
      <c r="T16" s="39"/>
      <c r="U16" s="13"/>
      <c r="V16" s="7"/>
      <c r="W16" s="7"/>
      <c r="X16" s="39"/>
      <c r="Y16"/>
      <c r="Z16"/>
      <c r="AA16"/>
      <c r="AB16" s="13"/>
      <c r="AC16" s="13"/>
      <c r="AD16" s="68"/>
      <c r="AE16" s="68"/>
      <c r="AF16" s="68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s="70" customFormat="1" ht="24.75" customHeight="1">
      <c r="A17" s="183" t="s">
        <v>3</v>
      </c>
      <c r="B17" s="183"/>
      <c r="C17" s="66" t="s">
        <v>38</v>
      </c>
      <c r="D17" s="28" t="s">
        <v>10</v>
      </c>
      <c r="E17" s="181" t="s">
        <v>13</v>
      </c>
      <c r="F17" s="181"/>
      <c r="G17" s="181"/>
      <c r="H17" s="40"/>
      <c r="I17" s="40"/>
      <c r="J17" s="40"/>
      <c r="K17" s="40"/>
      <c r="L17" s="2"/>
      <c r="M17" s="40"/>
      <c r="N17" s="40"/>
      <c r="O17" s="40"/>
      <c r="P17" s="40"/>
      <c r="Q17" s="40"/>
      <c r="R17" s="40"/>
      <c r="S17" s="40"/>
      <c r="T17" s="40"/>
      <c r="U17" s="13"/>
      <c r="V17" s="7"/>
      <c r="W17" s="7"/>
      <c r="X17" s="40"/>
      <c r="Y17"/>
      <c r="Z17"/>
      <c r="AA17"/>
      <c r="AB17" s="2"/>
      <c r="AC17" s="2"/>
      <c r="AD17" s="68"/>
      <c r="AE17" s="68"/>
      <c r="AF17" s="68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s="70" customFormat="1" ht="24.75" customHeight="1">
      <c r="A18" s="183" t="s">
        <v>4</v>
      </c>
      <c r="B18" s="183"/>
      <c r="C18" s="67" t="s">
        <v>20</v>
      </c>
      <c r="D18" s="28" t="s">
        <v>11</v>
      </c>
      <c r="E18" s="182" t="s">
        <v>14</v>
      </c>
      <c r="F18" s="182"/>
      <c r="G18" s="182"/>
      <c r="H18" s="40"/>
      <c r="I18" s="40"/>
      <c r="J18" s="40"/>
      <c r="K18" s="40"/>
      <c r="L18" s="2"/>
      <c r="M18" s="40"/>
      <c r="N18" s="40"/>
      <c r="O18" s="40"/>
      <c r="P18" s="40"/>
      <c r="Q18" s="40"/>
      <c r="R18" s="40"/>
      <c r="S18" s="40"/>
      <c r="T18" s="40"/>
      <c r="U18" s="13"/>
      <c r="V18" s="7"/>
      <c r="W18" s="7"/>
      <c r="X18" s="40"/>
      <c r="Y18"/>
      <c r="Z18"/>
      <c r="AA18"/>
      <c r="AB18" s="2"/>
      <c r="AC18" s="2"/>
      <c r="AD18" s="68"/>
      <c r="AE18" s="68"/>
      <c r="AF18" s="68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s="70" customFormat="1" ht="24.75" customHeight="1">
      <c r="A19" s="183" t="s">
        <v>5</v>
      </c>
      <c r="B19" s="183"/>
      <c r="C19" s="32" t="s">
        <v>19</v>
      </c>
      <c r="D19" s="39"/>
      <c r="E19" s="39"/>
      <c r="F19" s="39"/>
      <c r="G19" s="39"/>
      <c r="H19" s="40"/>
      <c r="I19" s="40"/>
      <c r="J19" s="40"/>
      <c r="K19" s="40"/>
      <c r="L19" s="2"/>
      <c r="M19" s="2"/>
      <c r="N19" s="2"/>
      <c r="O19" s="2"/>
      <c r="P19" s="2"/>
      <c r="Q19" s="2"/>
      <c r="R19" s="2"/>
      <c r="S19" s="2"/>
      <c r="T19" s="2"/>
      <c r="U19" s="13"/>
      <c r="V19" s="7"/>
      <c r="W19" s="7"/>
      <c r="X19" s="2"/>
      <c r="Y19"/>
      <c r="Z19"/>
      <c r="AA19"/>
      <c r="AB19" s="2"/>
      <c r="AC19" s="2"/>
      <c r="AD19" s="68"/>
      <c r="AE19" s="68"/>
      <c r="AF19" s="68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s="70" customFormat="1" ht="12.75" customHeight="1">
      <c r="A20" s="2"/>
      <c r="B20" s="2"/>
      <c r="C20" s="68"/>
      <c r="D20" s="68"/>
      <c r="E20" s="68"/>
      <c r="F20" s="68"/>
      <c r="G20" s="68"/>
      <c r="H20" s="40"/>
      <c r="I20" s="40"/>
      <c r="J20" s="40"/>
      <c r="K20" s="40"/>
      <c r="L20" s="2"/>
      <c r="M20" s="2"/>
      <c r="N20" s="2"/>
      <c r="O20" s="2"/>
      <c r="P20" s="2"/>
      <c r="Q20" s="2"/>
      <c r="R20" s="2"/>
      <c r="S20" s="2"/>
      <c r="T20" s="2"/>
      <c r="U20" s="13"/>
      <c r="V20" s="7"/>
      <c r="W20" s="7"/>
      <c r="X20" s="2"/>
      <c r="Y20"/>
      <c r="Z20"/>
      <c r="AA20"/>
      <c r="AB20" s="2"/>
      <c r="AC20" s="2"/>
      <c r="AD20" s="68"/>
      <c r="AE20" s="68"/>
      <c r="AF20" s="68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s="70" customFormat="1" ht="30.75" customHeight="1">
      <c r="A21" s="180" t="s">
        <v>6</v>
      </c>
      <c r="B21" s="180"/>
      <c r="C21" s="40"/>
      <c r="D21" s="40"/>
      <c r="E21" s="40"/>
      <c r="F21" s="40"/>
      <c r="G21" s="40"/>
      <c r="H21" s="40"/>
      <c r="I21" s="40"/>
      <c r="J21" s="40"/>
      <c r="K21" s="40"/>
      <c r="L21" s="2"/>
      <c r="M21" s="2"/>
      <c r="N21" s="2"/>
      <c r="O21" s="2"/>
      <c r="P21" s="2"/>
      <c r="Q21" s="2"/>
      <c r="R21" s="2"/>
      <c r="S21" s="2"/>
      <c r="T21" s="2"/>
      <c r="U21" s="13"/>
      <c r="V21" s="7"/>
      <c r="W21" s="7"/>
      <c r="X21" s="2"/>
      <c r="Y21"/>
      <c r="Z21"/>
      <c r="AA21"/>
      <c r="AB21" s="2"/>
      <c r="AC21" s="2"/>
      <c r="AD21" s="68"/>
      <c r="AE21" s="68"/>
      <c r="AF21" s="68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X22" s="7"/>
      <c r="Y22" s="7"/>
      <c r="Z22" s="39"/>
    </row>
    <row r="23" spans="1:52">
      <c r="X23" s="7"/>
      <c r="Y23" s="7"/>
      <c r="Z23" s="40"/>
    </row>
    <row r="24" spans="1:52">
      <c r="X24" s="7"/>
      <c r="Y24" s="7"/>
      <c r="Z24" s="40"/>
    </row>
    <row r="25" spans="1:52">
      <c r="X25" s="7"/>
      <c r="Y25" s="7"/>
      <c r="Z25" s="2"/>
    </row>
    <row r="26" spans="1:52">
      <c r="X26" s="7"/>
      <c r="Y26" s="7"/>
      <c r="Z26" s="2"/>
    </row>
    <row r="27" spans="1:52">
      <c r="X27" s="7"/>
      <c r="Y27" s="7"/>
      <c r="Z27" s="2"/>
    </row>
    <row r="28" spans="1:52">
      <c r="X28" s="2"/>
    </row>
    <row r="29" spans="1:52">
      <c r="X29" s="2"/>
    </row>
    <row r="30" spans="1:52">
      <c r="X30" s="2"/>
    </row>
  </sheetData>
  <mergeCells count="31">
    <mergeCell ref="B1:V2"/>
    <mergeCell ref="X6:X7"/>
    <mergeCell ref="Y6:Z6"/>
    <mergeCell ref="A14:G14"/>
    <mergeCell ref="A15:C15"/>
    <mergeCell ref="D15:G15"/>
    <mergeCell ref="A1:A2"/>
    <mergeCell ref="W1:AA1"/>
    <mergeCell ref="W2:AA2"/>
    <mergeCell ref="A16:B16"/>
    <mergeCell ref="E16:G16"/>
    <mergeCell ref="A17:B17"/>
    <mergeCell ref="E17:G17"/>
    <mergeCell ref="A18:B18"/>
    <mergeCell ref="E18:G18"/>
    <mergeCell ref="A19:B19"/>
    <mergeCell ref="A21:B21"/>
    <mergeCell ref="A8:AA8"/>
    <mergeCell ref="A10:AA10"/>
    <mergeCell ref="A6:A7"/>
    <mergeCell ref="H6:L6"/>
    <mergeCell ref="N6:O7"/>
    <mergeCell ref="P6:S6"/>
    <mergeCell ref="V6:W7"/>
    <mergeCell ref="AA6:AA7"/>
    <mergeCell ref="B6:B7"/>
    <mergeCell ref="C6:C7"/>
    <mergeCell ref="D6:D7"/>
    <mergeCell ref="E6:E7"/>
    <mergeCell ref="F6:F7"/>
    <mergeCell ref="G6:G7"/>
  </mergeCells>
  <conditionalFormatting sqref="X13:Y26 O9 W9:X9 X8:Z10 O11:O12 W11:Z12">
    <cfRule type="cellIs" dxfId="751" priority="269" stopIfTrue="1" operator="equal">
      <formula>"C"</formula>
    </cfRule>
    <cfRule type="cellIs" dxfId="750" priority="270" stopIfTrue="1" operator="equal">
      <formula>"C"</formula>
    </cfRule>
    <cfRule type="cellIs" dxfId="749" priority="271" stopIfTrue="1" operator="equal">
      <formula>"B"</formula>
    </cfRule>
    <cfRule type="cellIs" dxfId="748" priority="272" stopIfTrue="1" operator="equal">
      <formula>"A"</formula>
    </cfRule>
  </conditionalFormatting>
  <conditionalFormatting sqref="U14:W20">
    <cfRule type="cellIs" dxfId="747" priority="237" stopIfTrue="1" operator="equal">
      <formula>"C"</formula>
    </cfRule>
    <cfRule type="cellIs" dxfId="746" priority="238" stopIfTrue="1" operator="equal">
      <formula>"C"</formula>
    </cfRule>
    <cfRule type="cellIs" dxfId="745" priority="239" stopIfTrue="1" operator="equal">
      <formula>"B"</formula>
    </cfRule>
    <cfRule type="cellIs" dxfId="744" priority="240" stopIfTrue="1" operator="equal">
      <formula>"A"</formula>
    </cfRule>
  </conditionalFormatting>
  <conditionalFormatting sqref="Y11:Z12">
    <cfRule type="cellIs" dxfId="743" priority="221" stopIfTrue="1" operator="equal">
      <formula>"C"</formula>
    </cfRule>
    <cfRule type="cellIs" dxfId="742" priority="222" stopIfTrue="1" operator="equal">
      <formula>"C"</formula>
    </cfRule>
    <cfRule type="cellIs" dxfId="741" priority="223" stopIfTrue="1" operator="equal">
      <formula>"B"</formula>
    </cfRule>
    <cfRule type="cellIs" dxfId="740" priority="224" stopIfTrue="1" operator="equal">
      <formula>"A"</formula>
    </cfRule>
  </conditionalFormatting>
  <conditionalFormatting sqref="Y11:Z12">
    <cfRule type="cellIs" dxfId="739" priority="189" stopIfTrue="1" operator="equal">
      <formula>"C"</formula>
    </cfRule>
    <cfRule type="cellIs" dxfId="738" priority="190" stopIfTrue="1" operator="equal">
      <formula>"C"</formula>
    </cfRule>
    <cfRule type="cellIs" dxfId="737" priority="191" stopIfTrue="1" operator="equal">
      <formula>"B"</formula>
    </cfRule>
    <cfRule type="cellIs" dxfId="736" priority="192" stopIfTrue="1" operator="equal">
      <formula>"A"</formula>
    </cfRule>
  </conditionalFormatting>
  <conditionalFormatting sqref="Y11:Z12">
    <cfRule type="cellIs" dxfId="735" priority="185" stopIfTrue="1" operator="equal">
      <formula>"C"</formula>
    </cfRule>
    <cfRule type="cellIs" dxfId="734" priority="186" stopIfTrue="1" operator="equal">
      <formula>"C"</formula>
    </cfRule>
    <cfRule type="cellIs" dxfId="733" priority="187" stopIfTrue="1" operator="equal">
      <formula>"B"</formula>
    </cfRule>
    <cfRule type="cellIs" dxfId="732" priority="188" stopIfTrue="1" operator="equal">
      <formula>"A"</formula>
    </cfRule>
  </conditionalFormatting>
  <conditionalFormatting sqref="Y11:Z11">
    <cfRule type="cellIs" dxfId="731" priority="153" stopIfTrue="1" operator="equal">
      <formula>"C"</formula>
    </cfRule>
    <cfRule type="cellIs" dxfId="730" priority="154" stopIfTrue="1" operator="equal">
      <formula>"C"</formula>
    </cfRule>
    <cfRule type="cellIs" dxfId="729" priority="155" stopIfTrue="1" operator="equal">
      <formula>"B"</formula>
    </cfRule>
    <cfRule type="cellIs" dxfId="728" priority="156" stopIfTrue="1" operator="equal">
      <formula>"A"</formula>
    </cfRule>
  </conditionalFormatting>
  <conditionalFormatting sqref="Y11:Z11">
    <cfRule type="cellIs" dxfId="727" priority="149" stopIfTrue="1" operator="equal">
      <formula>"C"</formula>
    </cfRule>
    <cfRule type="cellIs" dxfId="726" priority="150" stopIfTrue="1" operator="equal">
      <formula>"C"</formula>
    </cfRule>
    <cfRule type="cellIs" dxfId="725" priority="151" stopIfTrue="1" operator="equal">
      <formula>"B"</formula>
    </cfRule>
    <cfRule type="cellIs" dxfId="724" priority="152" stopIfTrue="1" operator="equal">
      <formula>"A"</formula>
    </cfRule>
  </conditionalFormatting>
  <conditionalFormatting sqref="Y11:Z11">
    <cfRule type="cellIs" dxfId="723" priority="145" stopIfTrue="1" operator="equal">
      <formula>"C"</formula>
    </cfRule>
    <cfRule type="cellIs" dxfId="722" priority="146" stopIfTrue="1" operator="equal">
      <formula>"C"</formula>
    </cfRule>
    <cfRule type="cellIs" dxfId="721" priority="147" stopIfTrue="1" operator="equal">
      <formula>"B"</formula>
    </cfRule>
    <cfRule type="cellIs" dxfId="720" priority="148" stopIfTrue="1" operator="equal">
      <formula>"A"</formula>
    </cfRule>
  </conditionalFormatting>
  <conditionalFormatting sqref="Y12:Z12">
    <cfRule type="cellIs" dxfId="719" priority="141" stopIfTrue="1" operator="equal">
      <formula>"C"</formula>
    </cfRule>
    <cfRule type="cellIs" dxfId="718" priority="142" stopIfTrue="1" operator="equal">
      <formula>"C"</formula>
    </cfRule>
    <cfRule type="cellIs" dxfId="717" priority="143" stopIfTrue="1" operator="equal">
      <formula>"B"</formula>
    </cfRule>
    <cfRule type="cellIs" dxfId="716" priority="144" stopIfTrue="1" operator="equal">
      <formula>"A"</formula>
    </cfRule>
  </conditionalFormatting>
  <conditionalFormatting sqref="Y12:Z12">
    <cfRule type="cellIs" dxfId="715" priority="137" stopIfTrue="1" operator="equal">
      <formula>"C"</formula>
    </cfRule>
    <cfRule type="cellIs" dxfId="714" priority="138" stopIfTrue="1" operator="equal">
      <formula>"C"</formula>
    </cfRule>
    <cfRule type="cellIs" dxfId="713" priority="139" stopIfTrue="1" operator="equal">
      <formula>"B"</formula>
    </cfRule>
    <cfRule type="cellIs" dxfId="712" priority="140" stopIfTrue="1" operator="equal">
      <formula>"A"</formula>
    </cfRule>
  </conditionalFormatting>
  <conditionalFormatting sqref="Y12:Z12">
    <cfRule type="cellIs" dxfId="711" priority="133" stopIfTrue="1" operator="equal">
      <formula>"C"</formula>
    </cfRule>
    <cfRule type="cellIs" dxfId="710" priority="134" stopIfTrue="1" operator="equal">
      <formula>"C"</formula>
    </cfRule>
    <cfRule type="cellIs" dxfId="709" priority="135" stopIfTrue="1" operator="equal">
      <formula>"B"</formula>
    </cfRule>
    <cfRule type="cellIs" dxfId="708" priority="136" stopIfTrue="1" operator="equal">
      <formula>"A"</formula>
    </cfRule>
  </conditionalFormatting>
  <conditionalFormatting sqref="Y11:Z11">
    <cfRule type="cellIs" dxfId="707" priority="105" stopIfTrue="1" operator="equal">
      <formula>"C"</formula>
    </cfRule>
    <cfRule type="cellIs" dxfId="706" priority="106" stopIfTrue="1" operator="equal">
      <formula>"C"</formula>
    </cfRule>
    <cfRule type="cellIs" dxfId="705" priority="107" stopIfTrue="1" operator="equal">
      <formula>"B"</formula>
    </cfRule>
    <cfRule type="cellIs" dxfId="704" priority="108" stopIfTrue="1" operator="equal">
      <formula>"A"</formula>
    </cfRule>
  </conditionalFormatting>
  <conditionalFormatting sqref="Y11:Z11">
    <cfRule type="cellIs" dxfId="703" priority="101" stopIfTrue="1" operator="equal">
      <formula>"C"</formula>
    </cfRule>
    <cfRule type="cellIs" dxfId="702" priority="102" stopIfTrue="1" operator="equal">
      <formula>"C"</formula>
    </cfRule>
    <cfRule type="cellIs" dxfId="701" priority="103" stopIfTrue="1" operator="equal">
      <formula>"B"</formula>
    </cfRule>
    <cfRule type="cellIs" dxfId="700" priority="104" stopIfTrue="1" operator="equal">
      <formula>"A"</formula>
    </cfRule>
  </conditionalFormatting>
  <conditionalFormatting sqref="Y11:Z11">
    <cfRule type="cellIs" dxfId="699" priority="97" stopIfTrue="1" operator="equal">
      <formula>"C"</formula>
    </cfRule>
    <cfRule type="cellIs" dxfId="698" priority="98" stopIfTrue="1" operator="equal">
      <formula>"C"</formula>
    </cfRule>
    <cfRule type="cellIs" dxfId="697" priority="99" stopIfTrue="1" operator="equal">
      <formula>"B"</formula>
    </cfRule>
    <cfRule type="cellIs" dxfId="696" priority="100" stopIfTrue="1" operator="equal">
      <formula>"A"</formula>
    </cfRule>
  </conditionalFormatting>
  <conditionalFormatting sqref="Y12:Z12">
    <cfRule type="cellIs" dxfId="695" priority="93" stopIfTrue="1" operator="equal">
      <formula>"C"</formula>
    </cfRule>
    <cfRule type="cellIs" dxfId="694" priority="94" stopIfTrue="1" operator="equal">
      <formula>"C"</formula>
    </cfRule>
    <cfRule type="cellIs" dxfId="693" priority="95" stopIfTrue="1" operator="equal">
      <formula>"B"</formula>
    </cfRule>
    <cfRule type="cellIs" dxfId="692" priority="96" stopIfTrue="1" operator="equal">
      <formula>"A"</formula>
    </cfRule>
  </conditionalFormatting>
  <conditionalFormatting sqref="Y12:Z12">
    <cfRule type="cellIs" dxfId="691" priority="89" stopIfTrue="1" operator="equal">
      <formula>"C"</formula>
    </cfRule>
    <cfRule type="cellIs" dxfId="690" priority="90" stopIfTrue="1" operator="equal">
      <formula>"C"</formula>
    </cfRule>
    <cfRule type="cellIs" dxfId="689" priority="91" stopIfTrue="1" operator="equal">
      <formula>"B"</formula>
    </cfRule>
    <cfRule type="cellIs" dxfId="688" priority="92" stopIfTrue="1" operator="equal">
      <formula>"A"</formula>
    </cfRule>
  </conditionalFormatting>
  <conditionalFormatting sqref="Y12:Z12">
    <cfRule type="cellIs" dxfId="687" priority="85" stopIfTrue="1" operator="equal">
      <formula>"C"</formula>
    </cfRule>
    <cfRule type="cellIs" dxfId="686" priority="86" stopIfTrue="1" operator="equal">
      <formula>"C"</formula>
    </cfRule>
    <cfRule type="cellIs" dxfId="685" priority="87" stopIfTrue="1" operator="equal">
      <formula>"B"</formula>
    </cfRule>
    <cfRule type="cellIs" dxfId="684" priority="88" stopIfTrue="1" operator="equal">
      <formula>"A"</formula>
    </cfRule>
  </conditionalFormatting>
  <conditionalFormatting sqref="Y11:Z12">
    <cfRule type="cellIs" dxfId="683" priority="25" stopIfTrue="1" operator="equal">
      <formula>"C"</formula>
    </cfRule>
    <cfRule type="cellIs" dxfId="682" priority="26" stopIfTrue="1" operator="equal">
      <formula>"C"</formula>
    </cfRule>
    <cfRule type="cellIs" dxfId="681" priority="27" stopIfTrue="1" operator="equal">
      <formula>"B"</formula>
    </cfRule>
    <cfRule type="cellIs" dxfId="680" priority="28" stopIfTrue="1" operator="equal">
      <formula>"A"</formula>
    </cfRule>
  </conditionalFormatting>
  <conditionalFormatting sqref="Y11:Z12">
    <cfRule type="cellIs" dxfId="679" priority="21" stopIfTrue="1" operator="equal">
      <formula>"C"</formula>
    </cfRule>
    <cfRule type="cellIs" dxfId="678" priority="22" stopIfTrue="1" operator="equal">
      <formula>"C"</formula>
    </cfRule>
    <cfRule type="cellIs" dxfId="677" priority="23" stopIfTrue="1" operator="equal">
      <formula>"B"</formula>
    </cfRule>
    <cfRule type="cellIs" dxfId="676" priority="24" stopIfTrue="1" operator="equal">
      <formula>"A"</formula>
    </cfRule>
  </conditionalFormatting>
  <conditionalFormatting sqref="Y11:Z12">
    <cfRule type="cellIs" dxfId="675" priority="17" stopIfTrue="1" operator="equal">
      <formula>"C"</formula>
    </cfRule>
    <cfRule type="cellIs" dxfId="674" priority="18" stopIfTrue="1" operator="equal">
      <formula>"C"</formula>
    </cfRule>
    <cfRule type="cellIs" dxfId="673" priority="19" stopIfTrue="1" operator="equal">
      <formula>"B"</formula>
    </cfRule>
    <cfRule type="cellIs" dxfId="672" priority="20" stopIfTrue="1" operator="equal">
      <formula>"A"</formula>
    </cfRule>
  </conditionalFormatting>
  <conditionalFormatting sqref="Y11:Z12">
    <cfRule type="cellIs" dxfId="671" priority="13" stopIfTrue="1" operator="equal">
      <formula>"C"</formula>
    </cfRule>
    <cfRule type="cellIs" dxfId="670" priority="14" stopIfTrue="1" operator="equal">
      <formula>"C"</formula>
    </cfRule>
    <cfRule type="cellIs" dxfId="669" priority="15" stopIfTrue="1" operator="equal">
      <formula>"B"</formula>
    </cfRule>
    <cfRule type="cellIs" dxfId="668" priority="16" stopIfTrue="1" operator="equal">
      <formula>"A"</formula>
    </cfRule>
  </conditionalFormatting>
  <conditionalFormatting sqref="Y11:Z12">
    <cfRule type="cellIs" dxfId="667" priority="9" stopIfTrue="1" operator="equal">
      <formula>"C"</formula>
    </cfRule>
    <cfRule type="cellIs" dxfId="666" priority="10" stopIfTrue="1" operator="equal">
      <formula>"C"</formula>
    </cfRule>
    <cfRule type="cellIs" dxfId="665" priority="11" stopIfTrue="1" operator="equal">
      <formula>"B"</formula>
    </cfRule>
    <cfRule type="cellIs" dxfId="664" priority="12" stopIfTrue="1" operator="equal">
      <formula>"A"</formula>
    </cfRule>
  </conditionalFormatting>
  <conditionalFormatting sqref="Y11:Z12">
    <cfRule type="cellIs" dxfId="663" priority="5" stopIfTrue="1" operator="equal">
      <formula>"C"</formula>
    </cfRule>
    <cfRule type="cellIs" dxfId="662" priority="6" stopIfTrue="1" operator="equal">
      <formula>"C"</formula>
    </cfRule>
    <cfRule type="cellIs" dxfId="661" priority="7" stopIfTrue="1" operator="equal">
      <formula>"B"</formula>
    </cfRule>
    <cfRule type="cellIs" dxfId="660" priority="8" stopIfTrue="1" operator="equal">
      <formula>"A"</formula>
    </cfRule>
  </conditionalFormatting>
  <conditionalFormatting sqref="Y11:Z12">
    <cfRule type="cellIs" dxfId="659" priority="1" stopIfTrue="1" operator="equal">
      <formula>"C"</formula>
    </cfRule>
    <cfRule type="cellIs" dxfId="658" priority="2" stopIfTrue="1" operator="equal">
      <formula>"C"</formula>
    </cfRule>
    <cfRule type="cellIs" dxfId="657" priority="3" stopIfTrue="1" operator="equal">
      <formula>"B"</formula>
    </cfRule>
    <cfRule type="cellIs" dxfId="656" priority="4" stopIfTrue="1" operator="equal">
      <formula>"A"</formula>
    </cfRule>
  </conditionalFormatting>
  <dataValidations count="2">
    <dataValidation type="list" allowBlank="1" showInputMessage="1" showErrorMessage="1" sqref="P11:U12 P9:U9 H9:M9 H11:M12">
      <formula1>"0, 1, 2, 3"</formula1>
    </dataValidation>
    <dataValidation type="list" allowBlank="1" showInputMessage="1" showErrorMessage="1" sqref="W11:W12 W9 X8:X12 O9 O11:O12">
      <formula1>"A, B, C"</formula1>
    </dataValidation>
  </dataValidations>
  <hyperlinks>
    <hyperlink ref="G11" r:id="rId1"/>
    <hyperlink ref="G12" r:id="rId2"/>
  </hyperlinks>
  <pageMargins left="0.7" right="0.7" top="0.75" bottom="0.75" header="0.3" footer="0.3"/>
  <pageSetup paperSize="9" scale="22" orientation="portrait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10</vt:i4>
      </vt:variant>
    </vt:vector>
  </HeadingPairs>
  <TitlesOfParts>
    <vt:vector size="22" baseType="lpstr">
      <vt:lpstr>Matière premiére Plantes</vt:lpstr>
      <vt:lpstr>Matiére premiére Terre veg</vt:lpstr>
      <vt:lpstr>Matière premiére GAZON</vt:lpstr>
      <vt:lpstr>Matière décorative</vt:lpstr>
      <vt:lpstr> Bac à fleurs</vt:lpstr>
      <vt:lpstr>Produits phytosanitaire</vt:lpstr>
      <vt:lpstr>EQUI SECURITE &amp; OUTILLAGE</vt:lpstr>
      <vt:lpstr>PARC AUTO</vt:lpstr>
      <vt:lpstr>EQUIPEMENTS BUREAUTIQUE ET INFO</vt:lpstr>
      <vt:lpstr>SERVICES</vt:lpstr>
      <vt:lpstr>LOCATION DES ENGINS &amp; TRANSPORT</vt:lpstr>
      <vt:lpstr>SOUS-TRAITANTS</vt:lpstr>
      <vt:lpstr>' Bac à fleurs'!Zone_d_impression</vt:lpstr>
      <vt:lpstr>'EQUI SECURITE &amp; OUTILLAGE'!Zone_d_impression</vt:lpstr>
      <vt:lpstr>'EQUIPEMENTS BUREAUTIQUE ET INFO'!Zone_d_impression</vt:lpstr>
      <vt:lpstr>'LOCATION DES ENGINS &amp; TRANSPORT'!Zone_d_impression</vt:lpstr>
      <vt:lpstr>'Matière décorative'!Zone_d_impression</vt:lpstr>
      <vt:lpstr>'Matière premiére GAZON'!Zone_d_impression</vt:lpstr>
      <vt:lpstr>'Matière premiére Plantes'!Zone_d_impression</vt:lpstr>
      <vt:lpstr>'PARC AUTO'!Zone_d_impression</vt:lpstr>
      <vt:lpstr>'Produits phytosanitaire'!Zone_d_impression</vt:lpstr>
      <vt:lpstr>SERVICES!Zone_d_impression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NESRINE</dc:creator>
  <cp:lastModifiedBy>U-RSE</cp:lastModifiedBy>
  <cp:lastPrinted>2025-05-26T12:02:00Z</cp:lastPrinted>
  <dcterms:created xsi:type="dcterms:W3CDTF">2010-11-01T10:11:36Z</dcterms:created>
  <dcterms:modified xsi:type="dcterms:W3CDTF">2025-09-24T13:13:56Z</dcterms:modified>
</cp:coreProperties>
</file>
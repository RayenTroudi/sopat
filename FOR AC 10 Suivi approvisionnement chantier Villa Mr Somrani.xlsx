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5255" windowHeight="7935" tabRatio="280"/>
  </bookViews>
  <sheets>
    <sheet name="RDC" sheetId="1" r:id="rId1"/>
  </sheets>
  <calcPr calcId="124519"/>
</workbook>
</file>

<file path=xl/calcChain.xml><?xml version="1.0" encoding="utf-8"?>
<calcChain xmlns="http://schemas.openxmlformats.org/spreadsheetml/2006/main">
  <c r="U27" i="1"/>
  <c r="V27"/>
  <c r="W27" s="1"/>
  <c r="L27"/>
  <c r="O27" s="1"/>
  <c r="P27" s="1"/>
  <c r="Q27" s="1"/>
  <c r="J27"/>
  <c r="K27" s="1"/>
  <c r="E27"/>
  <c r="U32"/>
  <c r="V28"/>
  <c r="W28"/>
  <c r="V29"/>
  <c r="W29"/>
  <c r="V30"/>
  <c r="W30"/>
  <c r="V31"/>
  <c r="W31"/>
  <c r="V32"/>
  <c r="W32"/>
  <c r="V33"/>
  <c r="W33"/>
  <c r="V34"/>
  <c r="W34"/>
  <c r="V35"/>
  <c r="W35"/>
  <c r="L32"/>
  <c r="M32" s="1"/>
  <c r="J32"/>
  <c r="K32" s="1"/>
  <c r="E32"/>
  <c r="V14"/>
  <c r="W14" s="1"/>
  <c r="J10"/>
  <c r="V13"/>
  <c r="W13" s="1"/>
  <c r="M27" l="1"/>
  <c r="N27"/>
  <c r="N32"/>
  <c r="O32"/>
  <c r="P32" s="1"/>
  <c r="Q32" s="1"/>
  <c r="J29"/>
  <c r="K29" s="1"/>
  <c r="J28" l="1"/>
  <c r="K28"/>
  <c r="E29"/>
  <c r="L29"/>
  <c r="E28"/>
  <c r="L28"/>
  <c r="M28" s="1"/>
  <c r="M29" l="1"/>
  <c r="O29"/>
  <c r="P29" s="1"/>
  <c r="Q29" s="1"/>
  <c r="O28"/>
  <c r="P28" s="1"/>
  <c r="Q28" s="1"/>
  <c r="N29"/>
  <c r="N28"/>
  <c r="J33" l="1"/>
  <c r="V15" l="1"/>
  <c r="W15" s="1"/>
  <c r="V16"/>
  <c r="W16" s="1"/>
  <c r="V17"/>
  <c r="W17" s="1"/>
  <c r="V18"/>
  <c r="W18"/>
  <c r="V12"/>
  <c r="W12" s="1"/>
  <c r="V11" l="1"/>
  <c r="W11" s="1"/>
  <c r="L33" l="1"/>
  <c r="K33"/>
  <c r="E33"/>
  <c r="L31"/>
  <c r="M31" s="1"/>
  <c r="J31"/>
  <c r="K31" s="1"/>
  <c r="E31"/>
  <c r="V26"/>
  <c r="W26" s="1"/>
  <c r="L26"/>
  <c r="O26" s="1"/>
  <c r="J26"/>
  <c r="K26" s="1"/>
  <c r="E26"/>
  <c r="V25"/>
  <c r="W25" s="1"/>
  <c r="L25"/>
  <c r="N25" s="1"/>
  <c r="J25"/>
  <c r="K25" s="1"/>
  <c r="E25"/>
  <c r="V24"/>
  <c r="W24" s="1"/>
  <c r="L24"/>
  <c r="M24" s="1"/>
  <c r="J24"/>
  <c r="K24" s="1"/>
  <c r="E24"/>
  <c r="V23"/>
  <c r="W23" s="1"/>
  <c r="L23"/>
  <c r="M23" s="1"/>
  <c r="J23"/>
  <c r="K23" s="1"/>
  <c r="E23"/>
  <c r="V22"/>
  <c r="W22" s="1"/>
  <c r="L22"/>
  <c r="O22" s="1"/>
  <c r="J22"/>
  <c r="K22" s="1"/>
  <c r="E22"/>
  <c r="V21"/>
  <c r="W21" s="1"/>
  <c r="L21"/>
  <c r="N21" s="1"/>
  <c r="J21"/>
  <c r="K21" s="1"/>
  <c r="E21"/>
  <c r="V20"/>
  <c r="W20" s="1"/>
  <c r="L20"/>
  <c r="M20" s="1"/>
  <c r="J20"/>
  <c r="K20" s="1"/>
  <c r="E20"/>
  <c r="V19"/>
  <c r="W19" s="1"/>
  <c r="L19"/>
  <c r="M19" s="1"/>
  <c r="J19"/>
  <c r="K19" s="1"/>
  <c r="E19"/>
  <c r="J16"/>
  <c r="K16" s="1"/>
  <c r="L16"/>
  <c r="M16" s="1"/>
  <c r="J17"/>
  <c r="K17" s="1"/>
  <c r="L17"/>
  <c r="N17" s="1"/>
  <c r="J18"/>
  <c r="K18" s="1"/>
  <c r="L18"/>
  <c r="O18" s="1"/>
  <c r="E16"/>
  <c r="E17"/>
  <c r="E18"/>
  <c r="E10"/>
  <c r="M33" l="1"/>
  <c r="O33"/>
  <c r="P33" s="1"/>
  <c r="Q33" s="1"/>
  <c r="N33"/>
  <c r="M18"/>
  <c r="N18"/>
  <c r="O31"/>
  <c r="P31" s="1"/>
  <c r="Q31" s="1"/>
  <c r="P22"/>
  <c r="Q22" s="1"/>
  <c r="P26"/>
  <c r="Q26" s="1"/>
  <c r="P18"/>
  <c r="Q18" s="1"/>
  <c r="M26"/>
  <c r="O17"/>
  <c r="P17" s="1"/>
  <c r="Q17" s="1"/>
  <c r="N19"/>
  <c r="M21"/>
  <c r="N23"/>
  <c r="N16"/>
  <c r="M17"/>
  <c r="O16"/>
  <c r="P16" s="1"/>
  <c r="Q16" s="1"/>
  <c r="N22"/>
  <c r="N31"/>
  <c r="O19"/>
  <c r="P19" s="1"/>
  <c r="Q19" s="1"/>
  <c r="M22"/>
  <c r="O23"/>
  <c r="P23" s="1"/>
  <c r="Q23" s="1"/>
  <c r="N26"/>
  <c r="M25"/>
  <c r="O20"/>
  <c r="P20" s="1"/>
  <c r="Q20" s="1"/>
  <c r="O24"/>
  <c r="P24" s="1"/>
  <c r="Q24" s="1"/>
  <c r="N20"/>
  <c r="O21"/>
  <c r="P21" s="1"/>
  <c r="Q21" s="1"/>
  <c r="N24"/>
  <c r="O25"/>
  <c r="P25" s="1"/>
  <c r="Q25" s="1"/>
  <c r="V10" l="1"/>
  <c r="W10" s="1"/>
  <c r="K10"/>
  <c r="L10"/>
  <c r="M10" l="1"/>
  <c r="O10"/>
  <c r="N10"/>
  <c r="P10" l="1"/>
  <c r="Q10" s="1"/>
  <c r="G36"/>
  <c r="I5"/>
  <c r="S36" l="1"/>
  <c r="B36" l="1"/>
  <c r="B4"/>
  <c r="G4" l="1"/>
  <c r="G5" l="1"/>
  <c r="I4" s="1"/>
</calcChain>
</file>

<file path=xl/sharedStrings.xml><?xml version="1.0" encoding="utf-8"?>
<sst xmlns="http://schemas.openxmlformats.org/spreadsheetml/2006/main" count="128" uniqueCount="83">
  <si>
    <t>DATE</t>
  </si>
  <si>
    <t>FOURNISSEURS</t>
  </si>
  <si>
    <t>P.U.H.T</t>
  </si>
  <si>
    <t>Norme</t>
  </si>
  <si>
    <t>Date de MAJ:</t>
  </si>
  <si>
    <t>Réf Projet :</t>
  </si>
  <si>
    <t>FOR-AC-10</t>
  </si>
  <si>
    <t>Désignation</t>
  </si>
  <si>
    <t>P.TOTAL HTVA</t>
  </si>
  <si>
    <t>Observations</t>
  </si>
  <si>
    <t>Date de démarrage :</t>
  </si>
  <si>
    <t>Date de fin :</t>
  </si>
  <si>
    <t>Quantité</t>
  </si>
  <si>
    <t>Prix unitaire HTVA</t>
  </si>
  <si>
    <t>Prix total HTVA</t>
  </si>
  <si>
    <t xml:space="preserve">Projet : </t>
  </si>
  <si>
    <t xml:space="preserve">Client : </t>
  </si>
  <si>
    <t>Suivi prévisionnel / Devis validé par le client</t>
  </si>
  <si>
    <t>Ecart de Quantité</t>
  </si>
  <si>
    <t>Coût total prévisionnel :</t>
  </si>
  <si>
    <t>Coût total réel :</t>
  </si>
  <si>
    <t xml:space="preserve">Suivi d'approvisionnement de chantier
</t>
  </si>
  <si>
    <t>Suivi réel</t>
  </si>
  <si>
    <t>Taux de respect de quantité :</t>
  </si>
  <si>
    <t>Taux de respect du coût :</t>
  </si>
  <si>
    <t>% Ecart Quantité</t>
  </si>
  <si>
    <t>Ecart PU</t>
  </si>
  <si>
    <t>Ecart PT</t>
  </si>
  <si>
    <t>N° DU BL</t>
  </si>
  <si>
    <t>QUANTITE</t>
  </si>
  <si>
    <t>% Ecart PU</t>
  </si>
  <si>
    <t>% Ecart PT</t>
  </si>
  <si>
    <t>Suivi d'achat</t>
  </si>
  <si>
    <t>Fournisseurs</t>
  </si>
  <si>
    <t>Prix unitaire d'achat HTVA</t>
  </si>
  <si>
    <t>Prix total d'achat HTVA</t>
  </si>
  <si>
    <t>Somme facturée au client</t>
  </si>
  <si>
    <t>Somme des dépenses</t>
  </si>
  <si>
    <t>Prix total d'achat TTC</t>
  </si>
  <si>
    <t>Tonne</t>
  </si>
  <si>
    <t>Travaux de plantation</t>
  </si>
  <si>
    <t>Ens</t>
  </si>
  <si>
    <t>Amendement minéral</t>
  </si>
  <si>
    <t>Pot 24</t>
  </si>
  <si>
    <t>Sac</t>
  </si>
  <si>
    <t>En cours</t>
  </si>
  <si>
    <t>Somme du devis (HTVA)</t>
  </si>
  <si>
    <t>Aménagement paysager villa</t>
  </si>
  <si>
    <t>GM</t>
  </si>
  <si>
    <t>Pot 30</t>
  </si>
  <si>
    <t>m²</t>
  </si>
  <si>
    <t>Arecastrum romanzoffianum</t>
  </si>
  <si>
    <t>Washingtonia filifera</t>
  </si>
  <si>
    <t>Fourniture et pose de la terre végétale</t>
  </si>
  <si>
    <t>Cycas revoluta</t>
  </si>
  <si>
    <t>****</t>
  </si>
  <si>
    <t>Mr Mohamed Salah Somrani</t>
  </si>
  <si>
    <t>RE--075/24</t>
  </si>
  <si>
    <t>m³</t>
  </si>
  <si>
    <t xml:space="preserve"> h= 2 m</t>
  </si>
  <si>
    <t>Areca</t>
  </si>
  <si>
    <t xml:space="preserve">Washingtonia robusta </t>
  </si>
  <si>
    <t xml:space="preserve">Olea europea </t>
  </si>
  <si>
    <t>SAMI</t>
  </si>
  <si>
    <t>Semi</t>
  </si>
  <si>
    <t xml:space="preserve">Amendements organiques </t>
  </si>
  <si>
    <t>Installation du système d'arrosage</t>
  </si>
  <si>
    <t>Paspalum vaginatum</t>
  </si>
  <si>
    <t xml:space="preserve"> h= 1 m</t>
  </si>
  <si>
    <t xml:space="preserve"> h= 1,5 m</t>
  </si>
  <si>
    <t>LES PEPINIERES DE LA TUNISIE</t>
  </si>
  <si>
    <t>MED GOUIDER</t>
  </si>
  <si>
    <t>ABDESATTAR</t>
  </si>
  <si>
    <t xml:space="preserve">Fougère </t>
  </si>
  <si>
    <t>Pot 35</t>
  </si>
  <si>
    <t>berle</t>
  </si>
  <si>
    <t>OM</t>
  </si>
  <si>
    <t>Agave attenuata</t>
  </si>
  <si>
    <t>LES PEPINIERES DE CARTHAGE</t>
  </si>
  <si>
    <t>M0118094</t>
  </si>
  <si>
    <t>LES PEP DE CARTHAGE</t>
  </si>
  <si>
    <t>P</t>
  </si>
  <si>
    <t>Carissa macrocarpa boxwood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</si>
</sst>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_(&quot;$&quot;* #,##0.00_);_(&quot;$&quot;* \(#,##0.00\);_(&quot;$&quot;* &quot;-&quot;??_);_(@_)"/>
    <numFmt numFmtId="166" formatCode="0.0"/>
  </numFmts>
  <fonts count="19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u/>
      <sz val="14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26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6"/>
      <color indexed="8"/>
      <name val="Arial"/>
      <family val="2"/>
    </font>
    <font>
      <b/>
      <i/>
      <u/>
      <sz val="14"/>
      <color indexed="8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6600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/>
    <xf numFmtId="0" fontId="5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9" fillId="0" borderId="0" xfId="0" applyFont="1"/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0" fillId="0" borderId="2" xfId="0" applyBorder="1" applyAlignment="1"/>
    <xf numFmtId="164" fontId="15" fillId="0" borderId="1" xfId="0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 wrapText="1"/>
    </xf>
    <xf numFmtId="1" fontId="3" fillId="6" borderId="1" xfId="0" applyNumberFormat="1" applyFont="1" applyFill="1" applyBorder="1" applyAlignment="1">
      <alignment horizontal="center" vertical="center"/>
    </xf>
    <xf numFmtId="164" fontId="14" fillId="0" borderId="1" xfId="5" applyNumberFormat="1" applyFont="1" applyBorder="1" applyAlignment="1">
      <alignment horizontal="center" vertical="center"/>
    </xf>
    <xf numFmtId="9" fontId="14" fillId="0" borderId="1" xfId="5" applyFont="1" applyBorder="1" applyAlignment="1">
      <alignment horizontal="center" vertical="center"/>
    </xf>
    <xf numFmtId="14" fontId="18" fillId="6" borderId="1" xfId="0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2" fillId="6" borderId="11" xfId="0" applyNumberFormat="1" applyFont="1" applyFill="1" applyBorder="1" applyAlignment="1">
      <alignment horizontal="center" vertical="center"/>
    </xf>
    <xf numFmtId="10" fontId="2" fillId="6" borderId="1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/>
    </xf>
    <xf numFmtId="10" fontId="2" fillId="6" borderId="11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 wrapText="1"/>
    </xf>
    <xf numFmtId="10" fontId="2" fillId="6" borderId="11" xfId="0" applyNumberFormat="1" applyFont="1" applyFill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 wrapText="1"/>
    </xf>
    <xf numFmtId="164" fontId="2" fillId="6" borderId="11" xfId="0" applyNumberFormat="1" applyFont="1" applyFill="1" applyBorder="1" applyAlignment="1">
      <alignment horizontal="center" vertical="center"/>
    </xf>
    <xf numFmtId="10" fontId="2" fillId="6" borderId="11" xfId="0" applyNumberFormat="1" applyFont="1" applyFill="1" applyBorder="1" applyAlignment="1">
      <alignment horizontal="center" vertical="center"/>
    </xf>
    <xf numFmtId="10" fontId="2" fillId="6" borderId="12" xfId="0" applyNumberFormat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left" vertical="center" wrapText="1"/>
    </xf>
    <xf numFmtId="0" fontId="2" fillId="3" borderId="12" xfId="1" applyFont="1" applyFill="1" applyBorder="1" applyAlignment="1">
      <alignment horizontal="left" vertical="center" wrapText="1"/>
    </xf>
    <xf numFmtId="0" fontId="2" fillId="3" borderId="11" xfId="1" applyFont="1" applyFill="1" applyBorder="1" applyAlignment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164" fontId="2" fillId="3" borderId="11" xfId="1" applyNumberFormat="1" applyFont="1" applyFill="1" applyBorder="1" applyAlignment="1">
      <alignment horizontal="center" vertical="center" wrapText="1"/>
    </xf>
    <xf numFmtId="164" fontId="2" fillId="3" borderId="12" xfId="1" applyNumberFormat="1" applyFont="1" applyFill="1" applyBorder="1" applyAlignment="1">
      <alignment horizontal="center" vertical="center" wrapText="1"/>
    </xf>
    <xf numFmtId="0" fontId="2" fillId="3" borderId="13" xfId="1" applyFont="1" applyFill="1" applyBorder="1" applyAlignment="1">
      <alignment horizontal="left" vertical="center" wrapText="1"/>
    </xf>
    <xf numFmtId="1" fontId="2" fillId="6" borderId="11" xfId="0" applyNumberFormat="1" applyFont="1" applyFill="1" applyBorder="1" applyAlignment="1">
      <alignment horizontal="center" vertical="center"/>
    </xf>
    <xf numFmtId="1" fontId="2" fillId="6" borderId="13" xfId="0" applyNumberFormat="1" applyFont="1" applyFill="1" applyBorder="1" applyAlignment="1">
      <alignment horizontal="center" vertical="center"/>
    </xf>
    <xf numFmtId="10" fontId="2" fillId="6" borderId="13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5" fillId="8" borderId="3" xfId="0" applyNumberFormat="1" applyFont="1" applyFill="1" applyBorder="1" applyAlignment="1">
      <alignment horizontal="center" vertical="center"/>
    </xf>
    <xf numFmtId="164" fontId="5" fillId="8" borderId="4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164" fontId="2" fillId="3" borderId="13" xfId="1" applyNumberFormat="1" applyFont="1" applyFill="1" applyBorder="1" applyAlignment="1">
      <alignment horizontal="center" vertical="center" wrapText="1"/>
    </xf>
    <xf numFmtId="0" fontId="2" fillId="3" borderId="13" xfId="1" applyFont="1" applyFill="1" applyBorder="1" applyAlignment="1">
      <alignment horizontal="center" vertical="center" wrapText="1"/>
    </xf>
    <xf numFmtId="1" fontId="2" fillId="6" borderId="12" xfId="0" applyNumberFormat="1" applyFont="1" applyFill="1" applyBorder="1" applyAlignment="1">
      <alignment horizontal="center" vertical="center"/>
    </xf>
    <xf numFmtId="164" fontId="2" fillId="6" borderId="12" xfId="0" applyNumberFormat="1" applyFont="1" applyFill="1" applyBorder="1" applyAlignment="1">
      <alignment horizontal="center" vertical="center"/>
    </xf>
  </cellXfs>
  <cellStyles count="7">
    <cellStyle name="Normal" xfId="0" builtinId="0"/>
    <cellStyle name="Normal 2 2" xfId="1"/>
    <cellStyle name="Normal 2 3" xfId="2"/>
    <cellStyle name="Normal 2 4" xfId="3"/>
    <cellStyle name="Normal 4" xfId="4"/>
    <cellStyle name="Pourcentage" xfId="5" builtinId="5"/>
    <cellStyle name="Währung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345708</xdr:colOff>
      <xdr:row>0</xdr:row>
      <xdr:rowOff>19050</xdr:rowOff>
    </xdr:from>
    <xdr:to>
      <xdr:col>0</xdr:col>
      <xdr:colOff>1740267</xdr:colOff>
      <xdr:row>1</xdr:row>
      <xdr:rowOff>542925</xdr:rowOff>
    </xdr:to>
    <xdr:pic>
      <xdr:nvPicPr>
        <xdr:cNvPr id="1031" name="Image 2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345708" y="19050"/>
          <a:ext cx="1394559" cy="1119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2400300</xdr:colOff>
      <xdr:row>0</xdr:row>
      <xdr:rowOff>352425</xdr:rowOff>
    </xdr:from>
    <xdr:to>
      <xdr:col>11</xdr:col>
      <xdr:colOff>314325</xdr:colOff>
      <xdr:row>1</xdr:row>
      <xdr:rowOff>504825</xdr:rowOff>
    </xdr:to>
    <xdr:pic>
      <xdr:nvPicPr>
        <xdr:cNvPr id="1032" name="Image 2" descr="80091480_488485278450214_3135376759449452544_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868775" y="352425"/>
          <a:ext cx="313372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0"/>
  <sheetViews>
    <sheetView tabSelected="1" zoomScale="80" zoomScaleNormal="80" workbookViewId="0">
      <selection activeCell="E17" sqref="E17"/>
    </sheetView>
  </sheetViews>
  <sheetFormatPr baseColWidth="10" defaultRowHeight="12.75"/>
  <cols>
    <col min="1" max="1" width="45.140625" style="4" customWidth="1"/>
    <col min="2" max="2" width="16.140625" customWidth="1"/>
    <col min="3" max="3" width="20" customWidth="1"/>
    <col min="4" max="4" width="30.7109375" customWidth="1"/>
    <col min="5" max="5" width="28.140625" customWidth="1"/>
    <col min="6" max="6" width="33.42578125" style="3" customWidth="1"/>
    <col min="7" max="7" width="41.7109375" customWidth="1"/>
    <col min="8" max="8" width="30.140625" customWidth="1"/>
    <col min="9" max="9" width="42.7109375" style="3" customWidth="1"/>
    <col min="10" max="10" width="19.5703125" customWidth="1"/>
    <col min="11" max="14" width="16" customWidth="1"/>
    <col min="15" max="15" width="15.85546875" customWidth="1"/>
    <col min="16" max="17" width="16" customWidth="1"/>
    <col min="18" max="18" width="23.42578125" customWidth="1"/>
    <col min="19" max="20" width="20" customWidth="1"/>
    <col min="21" max="21" width="30.7109375" customWidth="1"/>
    <col min="22" max="23" width="28.140625" customWidth="1"/>
    <col min="24" max="24" width="29.42578125" customWidth="1"/>
  </cols>
  <sheetData>
    <row r="1" spans="1:24" ht="46.5" customHeight="1">
      <c r="A1" s="68"/>
      <c r="B1" s="75" t="s">
        <v>21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7"/>
      <c r="X1" s="7" t="s">
        <v>6</v>
      </c>
    </row>
    <row r="2" spans="1:24" ht="46.5" customHeight="1">
      <c r="A2" s="68"/>
      <c r="B2" s="78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80"/>
      <c r="X2" s="7">
        <v>4</v>
      </c>
    </row>
    <row r="3" spans="1:24">
      <c r="A3" s="8"/>
      <c r="B3" s="9"/>
      <c r="C3" s="9"/>
      <c r="D3" s="9"/>
      <c r="E3" s="9"/>
      <c r="F3" s="10"/>
      <c r="G3" s="11"/>
      <c r="H3" s="11"/>
      <c r="I3" s="10"/>
      <c r="J3" s="12"/>
      <c r="K3" s="12"/>
      <c r="L3" s="12"/>
      <c r="M3" s="12"/>
      <c r="N3" s="12"/>
      <c r="O3" s="12"/>
      <c r="P3" s="12"/>
      <c r="Q3" s="12"/>
      <c r="R3" s="9"/>
      <c r="S3" s="9"/>
      <c r="T3" s="9"/>
      <c r="U3" s="9"/>
      <c r="V3" s="9"/>
      <c r="W3" s="9"/>
      <c r="X3" s="9"/>
    </row>
    <row r="4" spans="1:24" ht="62.25" customHeight="1">
      <c r="A4" s="6" t="s">
        <v>4</v>
      </c>
      <c r="B4" s="72">
        <f ca="1">TODAY()</f>
        <v>46242</v>
      </c>
      <c r="C4" s="73"/>
      <c r="D4" s="6" t="s">
        <v>5</v>
      </c>
      <c r="E4" s="45" t="s">
        <v>57</v>
      </c>
      <c r="F4" s="6" t="s">
        <v>19</v>
      </c>
      <c r="G4" s="33">
        <f>SUM(E10:E234)</f>
        <v>50513.86</v>
      </c>
      <c r="H4" s="6" t="s">
        <v>24</v>
      </c>
      <c r="I4" s="34">
        <f>(G5/G4)</f>
        <v>0.96211218069654547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60" customHeight="1">
      <c r="A5" s="6" t="s">
        <v>15</v>
      </c>
      <c r="B5" s="74" t="s">
        <v>47</v>
      </c>
      <c r="C5" s="74"/>
      <c r="D5" s="6" t="s">
        <v>10</v>
      </c>
      <c r="E5" s="30">
        <v>45945</v>
      </c>
      <c r="F5" s="6" t="s">
        <v>20</v>
      </c>
      <c r="G5" s="33">
        <f>SUM(O10:O96)</f>
        <v>48600</v>
      </c>
      <c r="H5" s="6" t="s">
        <v>23</v>
      </c>
      <c r="I5" s="19" t="e">
        <f>AVERAGE(K10:K34)</f>
        <v>#DIV/0!</v>
      </c>
      <c r="K5" s="9"/>
      <c r="L5" s="9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47.25" customHeight="1">
      <c r="A6" s="6" t="s">
        <v>16</v>
      </c>
      <c r="B6" s="74" t="s">
        <v>56</v>
      </c>
      <c r="C6" s="74"/>
      <c r="D6" s="6" t="s">
        <v>11</v>
      </c>
      <c r="E6" s="30" t="s">
        <v>45</v>
      </c>
      <c r="F6" s="13"/>
      <c r="I6" s="10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9.75" customHeight="1">
      <c r="A7" s="8"/>
      <c r="B7" s="9"/>
      <c r="C7" s="9"/>
      <c r="D7" s="9"/>
      <c r="E7" s="9"/>
      <c r="F7" s="14"/>
      <c r="G7" s="15"/>
      <c r="H7" s="15"/>
      <c r="I7" s="2"/>
      <c r="J7" s="1"/>
      <c r="K7" s="1"/>
      <c r="L7" s="1"/>
      <c r="M7" s="1"/>
      <c r="N7" s="1"/>
      <c r="O7" s="16"/>
      <c r="P7" s="1"/>
      <c r="Q7" s="1"/>
      <c r="R7" s="9"/>
      <c r="S7" s="9"/>
      <c r="T7" s="9"/>
      <c r="U7" s="9"/>
      <c r="V7" s="9"/>
      <c r="W7" s="9"/>
      <c r="X7" s="9"/>
    </row>
    <row r="8" spans="1:24" ht="36.75" customHeight="1">
      <c r="A8" s="69" t="s">
        <v>17</v>
      </c>
      <c r="B8" s="70"/>
      <c r="C8" s="70"/>
      <c r="D8" s="70"/>
      <c r="E8" s="71"/>
      <c r="F8" s="84" t="s">
        <v>22</v>
      </c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2" t="s">
        <v>32</v>
      </c>
      <c r="S8" s="82"/>
      <c r="T8" s="82"/>
      <c r="U8" s="82"/>
      <c r="V8" s="82"/>
      <c r="W8" s="83"/>
      <c r="X8" s="81" t="s">
        <v>9</v>
      </c>
    </row>
    <row r="9" spans="1:24" ht="58.5" customHeight="1">
      <c r="A9" s="17" t="s">
        <v>7</v>
      </c>
      <c r="B9" s="18" t="s">
        <v>3</v>
      </c>
      <c r="C9" s="17" t="s">
        <v>12</v>
      </c>
      <c r="D9" s="17" t="s">
        <v>13</v>
      </c>
      <c r="E9" s="17" t="s">
        <v>14</v>
      </c>
      <c r="F9" s="20" t="s">
        <v>0</v>
      </c>
      <c r="G9" s="20" t="s">
        <v>1</v>
      </c>
      <c r="H9" s="20" t="s">
        <v>28</v>
      </c>
      <c r="I9" s="20" t="s">
        <v>29</v>
      </c>
      <c r="J9" s="20" t="s">
        <v>18</v>
      </c>
      <c r="K9" s="21" t="s">
        <v>25</v>
      </c>
      <c r="L9" s="21" t="s">
        <v>2</v>
      </c>
      <c r="M9" s="21" t="s">
        <v>26</v>
      </c>
      <c r="N9" s="21" t="s">
        <v>30</v>
      </c>
      <c r="O9" s="20" t="s">
        <v>8</v>
      </c>
      <c r="P9" s="21" t="s">
        <v>27</v>
      </c>
      <c r="Q9" s="21" t="s">
        <v>31</v>
      </c>
      <c r="R9" s="29" t="s">
        <v>33</v>
      </c>
      <c r="S9" s="29" t="s">
        <v>3</v>
      </c>
      <c r="T9" s="29" t="s">
        <v>12</v>
      </c>
      <c r="U9" s="29" t="s">
        <v>34</v>
      </c>
      <c r="V9" s="29" t="s">
        <v>35</v>
      </c>
      <c r="W9" s="29" t="s">
        <v>38</v>
      </c>
      <c r="X9" s="81"/>
    </row>
    <row r="10" spans="1:24" s="5" customFormat="1" ht="33.75" customHeight="1">
      <c r="A10" s="56" t="s">
        <v>53</v>
      </c>
      <c r="B10" s="58" t="s">
        <v>58</v>
      </c>
      <c r="C10" s="58">
        <v>120</v>
      </c>
      <c r="D10" s="60">
        <v>55</v>
      </c>
      <c r="E10" s="60">
        <f>D10*C10</f>
        <v>6600</v>
      </c>
      <c r="F10" s="35">
        <v>45952</v>
      </c>
      <c r="G10" s="22" t="s">
        <v>63</v>
      </c>
      <c r="H10" s="22" t="s">
        <v>55</v>
      </c>
      <c r="I10" s="32">
        <v>40</v>
      </c>
      <c r="J10" s="63">
        <f>SUM(I10:I15)-C10</f>
        <v>9</v>
      </c>
      <c r="K10" s="54">
        <f t="shared" ref="K10" si="0">J10/C10</f>
        <v>7.4999999999999997E-2</v>
      </c>
      <c r="L10" s="66">
        <f t="shared" ref="L10" si="1">D10</f>
        <v>55</v>
      </c>
      <c r="M10" s="66">
        <f t="shared" ref="M10" si="2">L10-D10</f>
        <v>0</v>
      </c>
      <c r="N10" s="54">
        <f t="shared" ref="N10" si="3">L10/D10</f>
        <v>1</v>
      </c>
      <c r="O10" s="66">
        <f>L10*(SUM(I10:I15))</f>
        <v>7095</v>
      </c>
      <c r="P10" s="66">
        <f t="shared" ref="P10" si="4">O10-E10</f>
        <v>495</v>
      </c>
      <c r="Q10" s="54">
        <f t="shared" ref="Q10" si="5">P10/E10</f>
        <v>7.4999999999999997E-2</v>
      </c>
      <c r="R10" s="27" t="s">
        <v>63</v>
      </c>
      <c r="S10" s="27" t="s">
        <v>64</v>
      </c>
      <c r="T10" s="27">
        <v>2</v>
      </c>
      <c r="U10" s="36">
        <v>600</v>
      </c>
      <c r="V10" s="36">
        <f t="shared" ref="V10" si="6">U10*T10</f>
        <v>1200</v>
      </c>
      <c r="W10" s="36">
        <f t="shared" ref="W10" si="7">V10</f>
        <v>1200</v>
      </c>
      <c r="X10" s="24"/>
    </row>
    <row r="11" spans="1:24" s="5" customFormat="1" ht="33.75" customHeight="1">
      <c r="A11" s="62"/>
      <c r="B11" s="95"/>
      <c r="C11" s="95"/>
      <c r="D11" s="94"/>
      <c r="E11" s="94"/>
      <c r="F11" s="35">
        <v>45954</v>
      </c>
      <c r="G11" s="22" t="s">
        <v>63</v>
      </c>
      <c r="H11" s="22" t="s">
        <v>55</v>
      </c>
      <c r="I11" s="32">
        <v>20</v>
      </c>
      <c r="J11" s="64"/>
      <c r="K11" s="65"/>
      <c r="L11" s="67"/>
      <c r="M11" s="67"/>
      <c r="N11" s="65"/>
      <c r="O11" s="67"/>
      <c r="P11" s="67"/>
      <c r="Q11" s="65"/>
      <c r="R11" s="27" t="s">
        <v>63</v>
      </c>
      <c r="S11" s="27" t="s">
        <v>64</v>
      </c>
      <c r="T11" s="27">
        <v>1</v>
      </c>
      <c r="U11" s="36">
        <v>600</v>
      </c>
      <c r="V11" s="36">
        <f t="shared" ref="V11" si="8">U11*T11</f>
        <v>600</v>
      </c>
      <c r="W11" s="36">
        <f t="shared" ref="W11" si="9">V11</f>
        <v>600</v>
      </c>
      <c r="X11" s="24"/>
    </row>
    <row r="12" spans="1:24" s="5" customFormat="1" ht="33.75" customHeight="1">
      <c r="A12" s="62"/>
      <c r="B12" s="95"/>
      <c r="C12" s="95"/>
      <c r="D12" s="94"/>
      <c r="E12" s="94"/>
      <c r="F12" s="35">
        <v>45955</v>
      </c>
      <c r="G12" s="22" t="s">
        <v>63</v>
      </c>
      <c r="H12" s="22" t="s">
        <v>55</v>
      </c>
      <c r="I12" s="32">
        <v>40</v>
      </c>
      <c r="J12" s="64"/>
      <c r="K12" s="65"/>
      <c r="L12" s="67"/>
      <c r="M12" s="67"/>
      <c r="N12" s="65"/>
      <c r="O12" s="67"/>
      <c r="P12" s="67"/>
      <c r="Q12" s="65"/>
      <c r="R12" s="27" t="s">
        <v>63</v>
      </c>
      <c r="S12" s="27" t="s">
        <v>64</v>
      </c>
      <c r="T12" s="27">
        <v>2</v>
      </c>
      <c r="U12" s="36">
        <v>600</v>
      </c>
      <c r="V12" s="36">
        <f t="shared" ref="V12:V14" si="10">U12*T12</f>
        <v>1200</v>
      </c>
      <c r="W12" s="36">
        <f t="shared" ref="W12:W14" si="11">V12</f>
        <v>1200</v>
      </c>
      <c r="X12" s="24"/>
    </row>
    <row r="13" spans="1:24" s="5" customFormat="1" ht="33.75" customHeight="1">
      <c r="A13" s="62"/>
      <c r="B13" s="95"/>
      <c r="C13" s="95"/>
      <c r="D13" s="94"/>
      <c r="E13" s="94"/>
      <c r="F13" s="35">
        <v>46130</v>
      </c>
      <c r="G13" s="22" t="s">
        <v>63</v>
      </c>
      <c r="H13" s="22" t="s">
        <v>55</v>
      </c>
      <c r="I13" s="32">
        <v>20</v>
      </c>
      <c r="J13" s="64"/>
      <c r="K13" s="65"/>
      <c r="L13" s="67"/>
      <c r="M13" s="67"/>
      <c r="N13" s="65"/>
      <c r="O13" s="67"/>
      <c r="P13" s="67"/>
      <c r="Q13" s="65"/>
      <c r="R13" s="27" t="s">
        <v>63</v>
      </c>
      <c r="S13" s="27" t="s">
        <v>64</v>
      </c>
      <c r="T13" s="27">
        <v>1</v>
      </c>
      <c r="U13" s="36">
        <v>600</v>
      </c>
      <c r="V13" s="36">
        <f t="shared" si="10"/>
        <v>600</v>
      </c>
      <c r="W13" s="36">
        <f t="shared" si="11"/>
        <v>600</v>
      </c>
      <c r="X13" s="24"/>
    </row>
    <row r="14" spans="1:24" s="5" customFormat="1" ht="33.75" customHeight="1">
      <c r="A14" s="62"/>
      <c r="B14" s="95"/>
      <c r="C14" s="95"/>
      <c r="D14" s="94"/>
      <c r="E14" s="94"/>
      <c r="F14" s="35">
        <v>46232</v>
      </c>
      <c r="G14" s="22" t="s">
        <v>63</v>
      </c>
      <c r="H14" s="22" t="s">
        <v>55</v>
      </c>
      <c r="I14" s="32">
        <v>7</v>
      </c>
      <c r="J14" s="64"/>
      <c r="K14" s="65"/>
      <c r="L14" s="67"/>
      <c r="M14" s="67"/>
      <c r="N14" s="65"/>
      <c r="O14" s="67"/>
      <c r="P14" s="67"/>
      <c r="Q14" s="65"/>
      <c r="R14" s="27" t="s">
        <v>63</v>
      </c>
      <c r="S14" s="27" t="s">
        <v>75</v>
      </c>
      <c r="T14" s="27">
        <v>1</v>
      </c>
      <c r="U14" s="36">
        <v>240</v>
      </c>
      <c r="V14" s="36">
        <f t="shared" si="10"/>
        <v>240</v>
      </c>
      <c r="W14" s="36">
        <f t="shared" si="11"/>
        <v>240</v>
      </c>
      <c r="X14" s="24"/>
    </row>
    <row r="15" spans="1:24" s="5" customFormat="1" ht="33.75" customHeight="1">
      <c r="A15" s="62"/>
      <c r="B15" s="95"/>
      <c r="C15" s="95"/>
      <c r="D15" s="94"/>
      <c r="E15" s="94"/>
      <c r="F15" s="35">
        <v>46238</v>
      </c>
      <c r="G15" s="22" t="s">
        <v>63</v>
      </c>
      <c r="H15" s="22" t="s">
        <v>55</v>
      </c>
      <c r="I15" s="32">
        <v>2</v>
      </c>
      <c r="J15" s="64"/>
      <c r="K15" s="65"/>
      <c r="L15" s="67"/>
      <c r="M15" s="67"/>
      <c r="N15" s="65"/>
      <c r="O15" s="67"/>
      <c r="P15" s="67"/>
      <c r="Q15" s="65"/>
      <c r="R15" s="27" t="s">
        <v>63</v>
      </c>
      <c r="S15" s="27" t="s">
        <v>76</v>
      </c>
      <c r="T15" s="27">
        <v>1</v>
      </c>
      <c r="U15" s="36">
        <v>140</v>
      </c>
      <c r="V15" s="36">
        <f t="shared" ref="V15:V18" si="12">U15*T15</f>
        <v>140</v>
      </c>
      <c r="W15" s="36">
        <f t="shared" ref="W15:W18" si="13">V15</f>
        <v>140</v>
      </c>
      <c r="X15" s="24"/>
    </row>
    <row r="16" spans="1:24" s="5" customFormat="1" ht="33.75" customHeight="1">
      <c r="A16" s="31" t="s">
        <v>65</v>
      </c>
      <c r="B16" s="41" t="s">
        <v>44</v>
      </c>
      <c r="C16" s="41">
        <v>20</v>
      </c>
      <c r="D16" s="42">
        <v>40</v>
      </c>
      <c r="E16" s="46">
        <f t="shared" ref="E16:E18" si="14">D16*C16</f>
        <v>800</v>
      </c>
      <c r="F16" s="35">
        <v>46093</v>
      </c>
      <c r="G16" s="22" t="s">
        <v>70</v>
      </c>
      <c r="H16" s="22">
        <v>1983</v>
      </c>
      <c r="I16" s="32">
        <v>20</v>
      </c>
      <c r="J16" s="40">
        <f t="shared" ref="J16:J18" si="15">I16-C16</f>
        <v>0</v>
      </c>
      <c r="K16" s="44">
        <f t="shared" ref="K16:K18" si="16">J16/C16</f>
        <v>0</v>
      </c>
      <c r="L16" s="43">
        <f t="shared" ref="L16:L18" si="17">D16</f>
        <v>40</v>
      </c>
      <c r="M16" s="43">
        <f t="shared" ref="M16:M18" si="18">L16-D16</f>
        <v>0</v>
      </c>
      <c r="N16" s="44">
        <f t="shared" ref="N16:N18" si="19">L16/D16</f>
        <v>1</v>
      </c>
      <c r="O16" s="38">
        <f t="shared" ref="O16:O18" si="20">L16*I16</f>
        <v>800</v>
      </c>
      <c r="P16" s="38">
        <f t="shared" ref="P16:P18" si="21">O16-E16</f>
        <v>0</v>
      </c>
      <c r="Q16" s="39">
        <f t="shared" ref="Q16:Q18" si="22">P16/E16</f>
        <v>0</v>
      </c>
      <c r="R16" s="27"/>
      <c r="S16" s="27"/>
      <c r="T16" s="27"/>
      <c r="U16" s="36"/>
      <c r="V16" s="36">
        <f t="shared" si="12"/>
        <v>0</v>
      </c>
      <c r="W16" s="36">
        <f t="shared" si="13"/>
        <v>0</v>
      </c>
      <c r="X16" s="24"/>
    </row>
    <row r="17" spans="1:24" s="5" customFormat="1" ht="33.75" customHeight="1">
      <c r="A17" s="31" t="s">
        <v>42</v>
      </c>
      <c r="B17" s="41" t="s">
        <v>39</v>
      </c>
      <c r="C17" s="41">
        <v>0.3</v>
      </c>
      <c r="D17" s="42">
        <v>1600</v>
      </c>
      <c r="E17" s="46">
        <f t="shared" si="14"/>
        <v>480</v>
      </c>
      <c r="F17" s="35"/>
      <c r="G17" s="22"/>
      <c r="H17" s="22"/>
      <c r="I17" s="47">
        <v>0.3</v>
      </c>
      <c r="J17" s="40">
        <f t="shared" si="15"/>
        <v>0</v>
      </c>
      <c r="K17" s="44">
        <f t="shared" si="16"/>
        <v>0</v>
      </c>
      <c r="L17" s="43">
        <f t="shared" si="17"/>
        <v>1600</v>
      </c>
      <c r="M17" s="43">
        <f t="shared" si="18"/>
        <v>0</v>
      </c>
      <c r="N17" s="44">
        <f t="shared" si="19"/>
        <v>1</v>
      </c>
      <c r="O17" s="38">
        <f t="shared" si="20"/>
        <v>480</v>
      </c>
      <c r="P17" s="38">
        <f t="shared" si="21"/>
        <v>0</v>
      </c>
      <c r="Q17" s="39">
        <f t="shared" si="22"/>
        <v>0</v>
      </c>
      <c r="R17" s="27"/>
      <c r="S17" s="27"/>
      <c r="T17" s="27"/>
      <c r="U17" s="36"/>
      <c r="V17" s="36">
        <f t="shared" si="12"/>
        <v>0</v>
      </c>
      <c r="W17" s="36">
        <f t="shared" si="13"/>
        <v>0</v>
      </c>
      <c r="X17" s="24"/>
    </row>
    <row r="18" spans="1:24" s="5" customFormat="1" ht="33.75" customHeight="1">
      <c r="A18" s="31" t="s">
        <v>40</v>
      </c>
      <c r="B18" s="41" t="s">
        <v>41</v>
      </c>
      <c r="C18" s="41">
        <v>1</v>
      </c>
      <c r="D18" s="42">
        <v>4500</v>
      </c>
      <c r="E18" s="46">
        <f t="shared" si="14"/>
        <v>4500</v>
      </c>
      <c r="F18" s="35"/>
      <c r="G18" s="22"/>
      <c r="H18" s="22"/>
      <c r="I18" s="47">
        <v>0.7</v>
      </c>
      <c r="J18" s="40">
        <f t="shared" si="15"/>
        <v>-0.30000000000000004</v>
      </c>
      <c r="K18" s="44">
        <f t="shared" si="16"/>
        <v>-0.30000000000000004</v>
      </c>
      <c r="L18" s="43">
        <f t="shared" si="17"/>
        <v>4500</v>
      </c>
      <c r="M18" s="43">
        <f t="shared" si="18"/>
        <v>0</v>
      </c>
      <c r="N18" s="44">
        <f t="shared" si="19"/>
        <v>1</v>
      </c>
      <c r="O18" s="38">
        <f t="shared" si="20"/>
        <v>3150</v>
      </c>
      <c r="P18" s="38">
        <f t="shared" si="21"/>
        <v>-1350</v>
      </c>
      <c r="Q18" s="39">
        <f t="shared" si="22"/>
        <v>-0.3</v>
      </c>
      <c r="R18" s="27"/>
      <c r="S18" s="27"/>
      <c r="T18" s="27"/>
      <c r="U18" s="36"/>
      <c r="V18" s="36">
        <f t="shared" si="12"/>
        <v>0</v>
      </c>
      <c r="W18" s="36">
        <f t="shared" si="13"/>
        <v>0</v>
      </c>
      <c r="X18" s="24"/>
    </row>
    <row r="19" spans="1:24" s="5" customFormat="1" ht="33.75" customHeight="1">
      <c r="A19" s="31" t="s">
        <v>66</v>
      </c>
      <c r="B19" s="41" t="s">
        <v>41</v>
      </c>
      <c r="C19" s="41">
        <v>1</v>
      </c>
      <c r="D19" s="42">
        <v>7183.86</v>
      </c>
      <c r="E19" s="46">
        <f t="shared" ref="E19:E31" si="23">D19*C19</f>
        <v>7183.86</v>
      </c>
      <c r="F19" s="35"/>
      <c r="G19" s="22"/>
      <c r="H19" s="22"/>
      <c r="I19" s="32"/>
      <c r="J19" s="40">
        <f t="shared" ref="J19:J31" si="24">I19-C19</f>
        <v>-1</v>
      </c>
      <c r="K19" s="44">
        <f t="shared" ref="K19:K31" si="25">J19/C19</f>
        <v>-1</v>
      </c>
      <c r="L19" s="43">
        <f t="shared" ref="L19:L31" si="26">D19</f>
        <v>7183.86</v>
      </c>
      <c r="M19" s="43">
        <f t="shared" ref="M19:M31" si="27">L19-D19</f>
        <v>0</v>
      </c>
      <c r="N19" s="44">
        <f t="shared" ref="N19:N31" si="28">L19/D19</f>
        <v>1</v>
      </c>
      <c r="O19" s="38">
        <f t="shared" ref="O19:O31" si="29">L19*I19</f>
        <v>0</v>
      </c>
      <c r="P19" s="38">
        <f t="shared" ref="P19:P31" si="30">O19-E19</f>
        <v>-7183.86</v>
      </c>
      <c r="Q19" s="39">
        <f t="shared" ref="Q19:Q31" si="31">P19/E19</f>
        <v>-1</v>
      </c>
      <c r="R19" s="27"/>
      <c r="S19" s="27"/>
      <c r="T19" s="27"/>
      <c r="U19" s="36"/>
      <c r="V19" s="36">
        <f t="shared" ref="V19:V27" si="32">U19*T19</f>
        <v>0</v>
      </c>
      <c r="W19" s="36">
        <f t="shared" ref="W19:W27" si="33">V19</f>
        <v>0</v>
      </c>
      <c r="X19" s="24"/>
    </row>
    <row r="20" spans="1:24" s="5" customFormat="1" ht="33.75" customHeight="1">
      <c r="A20" s="31" t="s">
        <v>51</v>
      </c>
      <c r="B20" s="41" t="s">
        <v>59</v>
      </c>
      <c r="C20" s="41">
        <v>6</v>
      </c>
      <c r="D20" s="42">
        <v>1600</v>
      </c>
      <c r="E20" s="46">
        <f t="shared" si="23"/>
        <v>9600</v>
      </c>
      <c r="F20" s="35">
        <v>46064</v>
      </c>
      <c r="G20" s="22" t="s">
        <v>70</v>
      </c>
      <c r="H20" s="22">
        <v>1969</v>
      </c>
      <c r="I20" s="32">
        <v>6</v>
      </c>
      <c r="J20" s="40">
        <f t="shared" si="24"/>
        <v>0</v>
      </c>
      <c r="K20" s="44">
        <f t="shared" si="25"/>
        <v>0</v>
      </c>
      <c r="L20" s="43">
        <f t="shared" si="26"/>
        <v>1600</v>
      </c>
      <c r="M20" s="43">
        <f t="shared" si="27"/>
        <v>0</v>
      </c>
      <c r="N20" s="44">
        <f t="shared" si="28"/>
        <v>1</v>
      </c>
      <c r="O20" s="38">
        <f t="shared" si="29"/>
        <v>9600</v>
      </c>
      <c r="P20" s="38">
        <f t="shared" si="30"/>
        <v>0</v>
      </c>
      <c r="Q20" s="39">
        <f t="shared" si="31"/>
        <v>0</v>
      </c>
      <c r="R20" s="27"/>
      <c r="S20" s="27"/>
      <c r="T20" s="27"/>
      <c r="U20" s="36"/>
      <c r="V20" s="36">
        <f t="shared" si="32"/>
        <v>0</v>
      </c>
      <c r="W20" s="36">
        <f t="shared" si="33"/>
        <v>0</v>
      </c>
      <c r="X20" s="24"/>
    </row>
    <row r="21" spans="1:24" s="5" customFormat="1" ht="33.75" customHeight="1">
      <c r="A21" s="31" t="s">
        <v>51</v>
      </c>
      <c r="B21" s="41" t="s">
        <v>68</v>
      </c>
      <c r="C21" s="41">
        <v>3</v>
      </c>
      <c r="D21" s="42">
        <v>800</v>
      </c>
      <c r="E21" s="46">
        <f t="shared" si="23"/>
        <v>2400</v>
      </c>
      <c r="F21" s="35">
        <v>46064</v>
      </c>
      <c r="G21" s="22" t="s">
        <v>70</v>
      </c>
      <c r="H21" s="22">
        <v>1968</v>
      </c>
      <c r="I21" s="32">
        <v>3</v>
      </c>
      <c r="J21" s="40">
        <f t="shared" si="24"/>
        <v>0</v>
      </c>
      <c r="K21" s="44">
        <f t="shared" si="25"/>
        <v>0</v>
      </c>
      <c r="L21" s="43">
        <f t="shared" si="26"/>
        <v>800</v>
      </c>
      <c r="M21" s="43">
        <f t="shared" si="27"/>
        <v>0</v>
      </c>
      <c r="N21" s="44">
        <f t="shared" si="28"/>
        <v>1</v>
      </c>
      <c r="O21" s="38">
        <f t="shared" si="29"/>
        <v>2400</v>
      </c>
      <c r="P21" s="38">
        <f t="shared" si="30"/>
        <v>0</v>
      </c>
      <c r="Q21" s="39">
        <f t="shared" si="31"/>
        <v>0</v>
      </c>
      <c r="R21" s="27"/>
      <c r="S21" s="27"/>
      <c r="T21" s="27"/>
      <c r="U21" s="36"/>
      <c r="V21" s="36">
        <f t="shared" si="32"/>
        <v>0</v>
      </c>
      <c r="W21" s="36">
        <f t="shared" si="33"/>
        <v>0</v>
      </c>
      <c r="X21" s="24"/>
    </row>
    <row r="22" spans="1:24" s="5" customFormat="1" ht="33.75" customHeight="1">
      <c r="A22" s="31" t="s">
        <v>60</v>
      </c>
      <c r="B22" s="41" t="s">
        <v>49</v>
      </c>
      <c r="C22" s="41">
        <v>9</v>
      </c>
      <c r="D22" s="42">
        <v>350</v>
      </c>
      <c r="E22" s="46">
        <f t="shared" si="23"/>
        <v>3150</v>
      </c>
      <c r="F22" s="35">
        <v>46093</v>
      </c>
      <c r="G22" s="22" t="s">
        <v>70</v>
      </c>
      <c r="H22" s="22">
        <v>1983</v>
      </c>
      <c r="I22" s="32">
        <v>9</v>
      </c>
      <c r="J22" s="40">
        <f t="shared" si="24"/>
        <v>0</v>
      </c>
      <c r="K22" s="44">
        <f t="shared" si="25"/>
        <v>0</v>
      </c>
      <c r="L22" s="43">
        <f t="shared" si="26"/>
        <v>350</v>
      </c>
      <c r="M22" s="43">
        <f t="shared" si="27"/>
        <v>0</v>
      </c>
      <c r="N22" s="44">
        <f t="shared" si="28"/>
        <v>1</v>
      </c>
      <c r="O22" s="38">
        <f t="shared" si="29"/>
        <v>3150</v>
      </c>
      <c r="P22" s="38">
        <f t="shared" si="30"/>
        <v>0</v>
      </c>
      <c r="Q22" s="39">
        <f t="shared" si="31"/>
        <v>0</v>
      </c>
      <c r="R22" s="27"/>
      <c r="S22" s="27"/>
      <c r="T22" s="27"/>
      <c r="U22" s="36"/>
      <c r="V22" s="36">
        <f t="shared" si="32"/>
        <v>0</v>
      </c>
      <c r="W22" s="36">
        <f t="shared" si="33"/>
        <v>0</v>
      </c>
      <c r="X22" s="24"/>
    </row>
    <row r="23" spans="1:24" s="5" customFormat="1" ht="33.75" customHeight="1">
      <c r="A23" s="31" t="s">
        <v>54</v>
      </c>
      <c r="B23" s="41" t="s">
        <v>43</v>
      </c>
      <c r="C23" s="41">
        <v>4</v>
      </c>
      <c r="D23" s="42">
        <v>250</v>
      </c>
      <c r="E23" s="46">
        <f t="shared" si="23"/>
        <v>1000</v>
      </c>
      <c r="F23" s="35"/>
      <c r="G23" s="22"/>
      <c r="H23" s="22"/>
      <c r="I23" s="32"/>
      <c r="J23" s="40">
        <f t="shared" si="24"/>
        <v>-4</v>
      </c>
      <c r="K23" s="44">
        <f t="shared" si="25"/>
        <v>-1</v>
      </c>
      <c r="L23" s="43">
        <f t="shared" si="26"/>
        <v>250</v>
      </c>
      <c r="M23" s="43">
        <f t="shared" si="27"/>
        <v>0</v>
      </c>
      <c r="N23" s="44">
        <f t="shared" si="28"/>
        <v>1</v>
      </c>
      <c r="O23" s="38">
        <f t="shared" si="29"/>
        <v>0</v>
      </c>
      <c r="P23" s="38">
        <f t="shared" si="30"/>
        <v>-1000</v>
      </c>
      <c r="Q23" s="39">
        <f t="shared" si="31"/>
        <v>-1</v>
      </c>
      <c r="R23" s="27"/>
      <c r="S23" s="27"/>
      <c r="T23" s="27"/>
      <c r="U23" s="36"/>
      <c r="V23" s="36">
        <f t="shared" si="32"/>
        <v>0</v>
      </c>
      <c r="W23" s="36">
        <f t="shared" si="33"/>
        <v>0</v>
      </c>
      <c r="X23" s="24"/>
    </row>
    <row r="24" spans="1:24" s="5" customFormat="1" ht="33.75" customHeight="1">
      <c r="A24" s="31" t="s">
        <v>54</v>
      </c>
      <c r="B24" s="41" t="s">
        <v>49</v>
      </c>
      <c r="C24" s="41">
        <v>2</v>
      </c>
      <c r="D24" s="42">
        <v>350</v>
      </c>
      <c r="E24" s="46">
        <f t="shared" si="23"/>
        <v>700</v>
      </c>
      <c r="F24" s="35"/>
      <c r="G24" s="22"/>
      <c r="H24" s="22"/>
      <c r="I24" s="32"/>
      <c r="J24" s="40">
        <f t="shared" si="24"/>
        <v>-2</v>
      </c>
      <c r="K24" s="44">
        <f t="shared" si="25"/>
        <v>-1</v>
      </c>
      <c r="L24" s="43">
        <f t="shared" si="26"/>
        <v>350</v>
      </c>
      <c r="M24" s="43">
        <f t="shared" si="27"/>
        <v>0</v>
      </c>
      <c r="N24" s="44">
        <f t="shared" si="28"/>
        <v>1</v>
      </c>
      <c r="O24" s="38">
        <f t="shared" si="29"/>
        <v>0</v>
      </c>
      <c r="P24" s="38">
        <f t="shared" si="30"/>
        <v>-700</v>
      </c>
      <c r="Q24" s="39">
        <f t="shared" si="31"/>
        <v>-1</v>
      </c>
      <c r="R24" s="27"/>
      <c r="S24" s="27"/>
      <c r="T24" s="27"/>
      <c r="U24" s="36"/>
      <c r="V24" s="36">
        <f t="shared" si="32"/>
        <v>0</v>
      </c>
      <c r="W24" s="36">
        <f t="shared" si="33"/>
        <v>0</v>
      </c>
      <c r="X24" s="24"/>
    </row>
    <row r="25" spans="1:24" s="5" customFormat="1" ht="33.75" customHeight="1">
      <c r="A25" s="31" t="s">
        <v>61</v>
      </c>
      <c r="B25" s="41" t="s">
        <v>59</v>
      </c>
      <c r="C25" s="41">
        <v>6</v>
      </c>
      <c r="D25" s="42">
        <v>1000</v>
      </c>
      <c r="E25" s="46">
        <f t="shared" si="23"/>
        <v>6000</v>
      </c>
      <c r="F25" s="35">
        <v>46064</v>
      </c>
      <c r="G25" s="22" t="s">
        <v>70</v>
      </c>
      <c r="H25" s="22">
        <v>1968</v>
      </c>
      <c r="I25" s="32">
        <v>6</v>
      </c>
      <c r="J25" s="40">
        <f t="shared" si="24"/>
        <v>0</v>
      </c>
      <c r="K25" s="44">
        <f t="shared" si="25"/>
        <v>0</v>
      </c>
      <c r="L25" s="43">
        <f t="shared" si="26"/>
        <v>1000</v>
      </c>
      <c r="M25" s="43">
        <f t="shared" si="27"/>
        <v>0</v>
      </c>
      <c r="N25" s="44">
        <f t="shared" si="28"/>
        <v>1</v>
      </c>
      <c r="O25" s="38">
        <f t="shared" si="29"/>
        <v>6000</v>
      </c>
      <c r="P25" s="38">
        <f t="shared" si="30"/>
        <v>0</v>
      </c>
      <c r="Q25" s="39">
        <f t="shared" si="31"/>
        <v>0</v>
      </c>
      <c r="R25" s="27"/>
      <c r="S25" s="27"/>
      <c r="T25" s="27"/>
      <c r="U25" s="36"/>
      <c r="V25" s="36">
        <f t="shared" si="32"/>
        <v>0</v>
      </c>
      <c r="W25" s="36">
        <f t="shared" si="33"/>
        <v>0</v>
      </c>
      <c r="X25" s="24"/>
    </row>
    <row r="26" spans="1:24" s="5" customFormat="1" ht="33.75" customHeight="1">
      <c r="A26" s="31" t="s">
        <v>52</v>
      </c>
      <c r="B26" s="41" t="s">
        <v>69</v>
      </c>
      <c r="C26" s="41">
        <v>2</v>
      </c>
      <c r="D26" s="42">
        <v>750</v>
      </c>
      <c r="E26" s="46">
        <f t="shared" si="23"/>
        <v>1500</v>
      </c>
      <c r="F26" s="35">
        <v>46064</v>
      </c>
      <c r="G26" s="22" t="s">
        <v>70</v>
      </c>
      <c r="H26" s="22">
        <v>1969</v>
      </c>
      <c r="I26" s="32">
        <v>2</v>
      </c>
      <c r="J26" s="40">
        <f t="shared" si="24"/>
        <v>0</v>
      </c>
      <c r="K26" s="44">
        <f t="shared" si="25"/>
        <v>0</v>
      </c>
      <c r="L26" s="43">
        <f t="shared" si="26"/>
        <v>750</v>
      </c>
      <c r="M26" s="43">
        <f t="shared" si="27"/>
        <v>0</v>
      </c>
      <c r="N26" s="44">
        <f t="shared" si="28"/>
        <v>1</v>
      </c>
      <c r="O26" s="38">
        <f t="shared" si="29"/>
        <v>1500</v>
      </c>
      <c r="P26" s="38">
        <f t="shared" si="30"/>
        <v>0</v>
      </c>
      <c r="Q26" s="39">
        <f t="shared" si="31"/>
        <v>0</v>
      </c>
      <c r="R26" s="27"/>
      <c r="S26" s="27"/>
      <c r="T26" s="27"/>
      <c r="U26" s="36"/>
      <c r="V26" s="36">
        <f t="shared" si="32"/>
        <v>0</v>
      </c>
      <c r="W26" s="36">
        <f t="shared" si="33"/>
        <v>0</v>
      </c>
      <c r="X26" s="24"/>
    </row>
    <row r="27" spans="1:24" s="5" customFormat="1" ht="33.75" customHeight="1">
      <c r="A27" s="31" t="s">
        <v>82</v>
      </c>
      <c r="B27" s="41" t="s">
        <v>74</v>
      </c>
      <c r="C27" s="41">
        <v>0</v>
      </c>
      <c r="D27" s="42">
        <v>65</v>
      </c>
      <c r="E27" s="52">
        <f t="shared" si="23"/>
        <v>0</v>
      </c>
      <c r="F27" s="35">
        <v>46233</v>
      </c>
      <c r="G27" s="22" t="s">
        <v>78</v>
      </c>
      <c r="H27" s="22" t="s">
        <v>79</v>
      </c>
      <c r="I27" s="32">
        <v>5</v>
      </c>
      <c r="J27" s="40">
        <f t="shared" si="24"/>
        <v>5</v>
      </c>
      <c r="K27" s="51" t="e">
        <f t="shared" si="25"/>
        <v>#DIV/0!</v>
      </c>
      <c r="L27" s="53">
        <f t="shared" si="26"/>
        <v>65</v>
      </c>
      <c r="M27" s="53">
        <f t="shared" si="27"/>
        <v>0</v>
      </c>
      <c r="N27" s="51">
        <f t="shared" si="28"/>
        <v>1</v>
      </c>
      <c r="O27" s="38">
        <f t="shared" si="29"/>
        <v>325</v>
      </c>
      <c r="P27" s="38">
        <f t="shared" si="30"/>
        <v>325</v>
      </c>
      <c r="Q27" s="39" t="e">
        <f t="shared" si="31"/>
        <v>#DIV/0!</v>
      </c>
      <c r="R27" s="27" t="s">
        <v>80</v>
      </c>
      <c r="S27" s="27" t="s">
        <v>81</v>
      </c>
      <c r="T27" s="27">
        <v>5</v>
      </c>
      <c r="U27" s="36">
        <f>35-(35*0.3)</f>
        <v>24.5</v>
      </c>
      <c r="V27" s="36">
        <f t="shared" si="32"/>
        <v>122.5</v>
      </c>
      <c r="W27" s="36">
        <f t="shared" si="33"/>
        <v>122.5</v>
      </c>
      <c r="X27" s="24"/>
    </row>
    <row r="28" spans="1:24" s="5" customFormat="1" ht="33.75" customHeight="1">
      <c r="A28" s="31" t="s">
        <v>73</v>
      </c>
      <c r="B28" s="41" t="s">
        <v>74</v>
      </c>
      <c r="C28" s="41">
        <v>0</v>
      </c>
      <c r="D28" s="42">
        <v>35</v>
      </c>
      <c r="E28" s="50">
        <f t="shared" si="23"/>
        <v>0</v>
      </c>
      <c r="F28" s="35"/>
      <c r="G28" s="22"/>
      <c r="H28" s="22"/>
      <c r="I28" s="32">
        <v>38</v>
      </c>
      <c r="J28" s="40">
        <f t="shared" si="24"/>
        <v>38</v>
      </c>
      <c r="K28" s="48" t="e">
        <f t="shared" si="25"/>
        <v>#DIV/0!</v>
      </c>
      <c r="L28" s="49">
        <f t="shared" si="26"/>
        <v>35</v>
      </c>
      <c r="M28" s="49">
        <f t="shared" si="27"/>
        <v>0</v>
      </c>
      <c r="N28" s="48">
        <f t="shared" si="28"/>
        <v>1</v>
      </c>
      <c r="O28" s="38">
        <f t="shared" si="29"/>
        <v>1330</v>
      </c>
      <c r="P28" s="38">
        <f t="shared" si="30"/>
        <v>1330</v>
      </c>
      <c r="Q28" s="39" t="e">
        <f t="shared" si="31"/>
        <v>#DIV/0!</v>
      </c>
      <c r="R28" s="27"/>
      <c r="S28" s="27"/>
      <c r="T28" s="27"/>
      <c r="U28" s="36"/>
      <c r="V28" s="36">
        <f t="shared" ref="V28:V35" si="34">U28*T28</f>
        <v>0</v>
      </c>
      <c r="W28" s="36">
        <f t="shared" ref="W28:W35" si="35">V28</f>
        <v>0</v>
      </c>
      <c r="X28" s="24"/>
    </row>
    <row r="29" spans="1:24" s="5" customFormat="1" ht="33.75" customHeight="1">
      <c r="A29" s="56" t="s">
        <v>73</v>
      </c>
      <c r="B29" s="58" t="s">
        <v>43</v>
      </c>
      <c r="C29" s="58">
        <v>0</v>
      </c>
      <c r="D29" s="60">
        <v>25</v>
      </c>
      <c r="E29" s="60">
        <f t="shared" si="23"/>
        <v>0</v>
      </c>
      <c r="F29" s="35"/>
      <c r="G29" s="22"/>
      <c r="H29" s="22"/>
      <c r="I29" s="32">
        <v>50</v>
      </c>
      <c r="J29" s="63">
        <f>(I29+I30)-C29</f>
        <v>95</v>
      </c>
      <c r="K29" s="54" t="e">
        <f t="shared" si="25"/>
        <v>#DIV/0!</v>
      </c>
      <c r="L29" s="49">
        <f t="shared" si="26"/>
        <v>25</v>
      </c>
      <c r="M29" s="49">
        <f t="shared" si="27"/>
        <v>0</v>
      </c>
      <c r="N29" s="48">
        <f t="shared" si="28"/>
        <v>1</v>
      </c>
      <c r="O29" s="38">
        <f t="shared" si="29"/>
        <v>1250</v>
      </c>
      <c r="P29" s="38">
        <f t="shared" si="30"/>
        <v>1250</v>
      </c>
      <c r="Q29" s="39" t="e">
        <f t="shared" si="31"/>
        <v>#DIV/0!</v>
      </c>
      <c r="R29" s="27"/>
      <c r="S29" s="27"/>
      <c r="T29" s="27"/>
      <c r="U29" s="36"/>
      <c r="V29" s="36">
        <f t="shared" si="34"/>
        <v>0</v>
      </c>
      <c r="W29" s="36">
        <f t="shared" si="35"/>
        <v>0</v>
      </c>
      <c r="X29" s="24"/>
    </row>
    <row r="30" spans="1:24" s="5" customFormat="1" ht="33.75" customHeight="1">
      <c r="A30" s="57"/>
      <c r="B30" s="59"/>
      <c r="C30" s="59"/>
      <c r="D30" s="61"/>
      <c r="E30" s="61"/>
      <c r="F30" s="35">
        <v>46185</v>
      </c>
      <c r="G30" s="22" t="s">
        <v>70</v>
      </c>
      <c r="H30" s="22">
        <v>1902</v>
      </c>
      <c r="I30" s="32">
        <v>45</v>
      </c>
      <c r="J30" s="96"/>
      <c r="K30" s="55"/>
      <c r="L30" s="49"/>
      <c r="M30" s="49"/>
      <c r="N30" s="48"/>
      <c r="O30" s="38"/>
      <c r="P30" s="38"/>
      <c r="Q30" s="39"/>
      <c r="R30" s="27"/>
      <c r="S30" s="27"/>
      <c r="T30" s="27"/>
      <c r="U30" s="36"/>
      <c r="V30" s="36">
        <f t="shared" si="34"/>
        <v>0</v>
      </c>
      <c r="W30" s="36">
        <f t="shared" si="35"/>
        <v>0</v>
      </c>
      <c r="X30" s="24"/>
    </row>
    <row r="31" spans="1:24" s="5" customFormat="1" ht="33.75" customHeight="1">
      <c r="A31" s="31" t="s">
        <v>62</v>
      </c>
      <c r="B31" s="41" t="s">
        <v>48</v>
      </c>
      <c r="C31" s="41">
        <v>1</v>
      </c>
      <c r="D31" s="42">
        <v>1800</v>
      </c>
      <c r="E31" s="46">
        <f t="shared" si="23"/>
        <v>1800</v>
      </c>
      <c r="F31" s="35">
        <v>46064</v>
      </c>
      <c r="G31" s="22" t="s">
        <v>70</v>
      </c>
      <c r="H31" s="22">
        <v>1969</v>
      </c>
      <c r="I31" s="32">
        <v>1</v>
      </c>
      <c r="J31" s="40">
        <f t="shared" si="24"/>
        <v>0</v>
      </c>
      <c r="K31" s="44">
        <f t="shared" si="25"/>
        <v>0</v>
      </c>
      <c r="L31" s="43">
        <f t="shared" si="26"/>
        <v>1800</v>
      </c>
      <c r="M31" s="43">
        <f t="shared" si="27"/>
        <v>0</v>
      </c>
      <c r="N31" s="44">
        <f t="shared" si="28"/>
        <v>1</v>
      </c>
      <c r="O31" s="38">
        <f t="shared" si="29"/>
        <v>1800</v>
      </c>
      <c r="P31" s="38">
        <f t="shared" si="30"/>
        <v>0</v>
      </c>
      <c r="Q31" s="39">
        <f t="shared" si="31"/>
        <v>0</v>
      </c>
      <c r="R31" s="27"/>
      <c r="S31" s="27"/>
      <c r="T31" s="27"/>
      <c r="U31" s="36"/>
      <c r="V31" s="36">
        <f t="shared" si="34"/>
        <v>0</v>
      </c>
      <c r="W31" s="36">
        <f t="shared" si="35"/>
        <v>0</v>
      </c>
      <c r="X31" s="24"/>
    </row>
    <row r="32" spans="1:24" s="5" customFormat="1" ht="33.75" customHeight="1">
      <c r="A32" s="31" t="s">
        <v>77</v>
      </c>
      <c r="B32" s="41" t="s">
        <v>74</v>
      </c>
      <c r="C32" s="41">
        <v>0</v>
      </c>
      <c r="D32" s="42">
        <v>140</v>
      </c>
      <c r="E32" s="52">
        <f t="shared" ref="E32" si="36">D32*C32</f>
        <v>0</v>
      </c>
      <c r="F32" s="35">
        <v>46233</v>
      </c>
      <c r="G32" s="22" t="s">
        <v>78</v>
      </c>
      <c r="H32" s="22" t="s">
        <v>79</v>
      </c>
      <c r="I32" s="32">
        <v>10</v>
      </c>
      <c r="J32" s="40">
        <f t="shared" ref="J32" si="37">I32-C32</f>
        <v>10</v>
      </c>
      <c r="K32" s="51" t="e">
        <f t="shared" ref="K32" si="38">J32/C32</f>
        <v>#DIV/0!</v>
      </c>
      <c r="L32" s="53">
        <f t="shared" ref="L32" si="39">D32</f>
        <v>140</v>
      </c>
      <c r="M32" s="53">
        <f t="shared" ref="M32" si="40">L32-D32</f>
        <v>0</v>
      </c>
      <c r="N32" s="51">
        <f t="shared" ref="N32" si="41">L32/D32</f>
        <v>1</v>
      </c>
      <c r="O32" s="38">
        <f t="shared" ref="O32" si="42">L32*I32</f>
        <v>1400</v>
      </c>
      <c r="P32" s="38">
        <f t="shared" ref="P32" si="43">O32-E32</f>
        <v>1400</v>
      </c>
      <c r="Q32" s="39" t="e">
        <f t="shared" ref="Q32" si="44">P32/E32</f>
        <v>#DIV/0!</v>
      </c>
      <c r="R32" s="27" t="s">
        <v>80</v>
      </c>
      <c r="S32" s="27" t="s">
        <v>81</v>
      </c>
      <c r="T32" s="27">
        <v>10</v>
      </c>
      <c r="U32" s="36">
        <f>120-(120*0.3)</f>
        <v>84</v>
      </c>
      <c r="V32" s="36">
        <f t="shared" si="34"/>
        <v>840</v>
      </c>
      <c r="W32" s="36">
        <f t="shared" si="35"/>
        <v>840</v>
      </c>
      <c r="X32" s="24"/>
    </row>
    <row r="33" spans="1:24" s="5" customFormat="1" ht="33.75" customHeight="1">
      <c r="A33" s="56" t="s">
        <v>67</v>
      </c>
      <c r="B33" s="58" t="s">
        <v>50</v>
      </c>
      <c r="C33" s="58">
        <v>300</v>
      </c>
      <c r="D33" s="60">
        <v>16</v>
      </c>
      <c r="E33" s="60">
        <f>D33*C33</f>
        <v>4800</v>
      </c>
      <c r="F33" s="35">
        <v>46121</v>
      </c>
      <c r="G33" s="22" t="s">
        <v>72</v>
      </c>
      <c r="H33" s="22" t="s">
        <v>55</v>
      </c>
      <c r="I33" s="32">
        <v>250</v>
      </c>
      <c r="J33" s="63">
        <f>SUM(I33:I35)-C33</f>
        <v>220</v>
      </c>
      <c r="K33" s="54">
        <f>J33/C33</f>
        <v>0.73333333333333328</v>
      </c>
      <c r="L33" s="66">
        <f>D33</f>
        <v>16</v>
      </c>
      <c r="M33" s="66">
        <f>L33-D33</f>
        <v>0</v>
      </c>
      <c r="N33" s="54">
        <f>L33/D33</f>
        <v>1</v>
      </c>
      <c r="O33" s="66">
        <f>L33*SUM(I33:I35)</f>
        <v>8320</v>
      </c>
      <c r="P33" s="66">
        <f>O33-E33</f>
        <v>3520</v>
      </c>
      <c r="Q33" s="54">
        <f>P33/E33</f>
        <v>0.73333333333333328</v>
      </c>
      <c r="R33" s="27"/>
      <c r="S33" s="27"/>
      <c r="T33" s="27"/>
      <c r="U33" s="36"/>
      <c r="V33" s="36">
        <f t="shared" si="34"/>
        <v>0</v>
      </c>
      <c r="W33" s="36">
        <f t="shared" si="35"/>
        <v>0</v>
      </c>
      <c r="X33" s="24"/>
    </row>
    <row r="34" spans="1:24" s="5" customFormat="1" ht="33.75" customHeight="1">
      <c r="A34" s="62"/>
      <c r="B34" s="95"/>
      <c r="C34" s="95"/>
      <c r="D34" s="94"/>
      <c r="E34" s="94"/>
      <c r="F34" s="35">
        <v>46156</v>
      </c>
      <c r="G34" s="22" t="s">
        <v>71</v>
      </c>
      <c r="H34" s="22" t="s">
        <v>55</v>
      </c>
      <c r="I34" s="32">
        <v>190</v>
      </c>
      <c r="J34" s="64"/>
      <c r="K34" s="65"/>
      <c r="L34" s="67"/>
      <c r="M34" s="67"/>
      <c r="N34" s="65"/>
      <c r="O34" s="67"/>
      <c r="P34" s="67"/>
      <c r="Q34" s="65"/>
      <c r="R34" s="27"/>
      <c r="S34" s="27"/>
      <c r="T34" s="27"/>
      <c r="U34" s="36"/>
      <c r="V34" s="36">
        <f t="shared" si="34"/>
        <v>0</v>
      </c>
      <c r="W34" s="36">
        <f t="shared" si="35"/>
        <v>0</v>
      </c>
      <c r="X34" s="24"/>
    </row>
    <row r="35" spans="1:24" s="5" customFormat="1" ht="33.75" customHeight="1">
      <c r="A35" s="57"/>
      <c r="B35" s="59"/>
      <c r="C35" s="59"/>
      <c r="D35" s="61"/>
      <c r="E35" s="61"/>
      <c r="F35" s="35">
        <v>46164</v>
      </c>
      <c r="G35" s="22" t="s">
        <v>72</v>
      </c>
      <c r="H35" s="22" t="s">
        <v>55</v>
      </c>
      <c r="I35" s="32">
        <v>80</v>
      </c>
      <c r="J35" s="96"/>
      <c r="K35" s="55"/>
      <c r="L35" s="97"/>
      <c r="M35" s="97"/>
      <c r="N35" s="55"/>
      <c r="O35" s="97"/>
      <c r="P35" s="97"/>
      <c r="Q35" s="55"/>
      <c r="R35" s="27"/>
      <c r="S35" s="27"/>
      <c r="T35" s="27"/>
      <c r="U35" s="36"/>
      <c r="V35" s="36">
        <f t="shared" si="34"/>
        <v>0</v>
      </c>
      <c r="W35" s="36">
        <f t="shared" si="35"/>
        <v>0</v>
      </c>
      <c r="X35" s="24"/>
    </row>
    <row r="36" spans="1:24" ht="75.75" customHeight="1">
      <c r="A36" s="26" t="s">
        <v>46</v>
      </c>
      <c r="B36" s="88">
        <f>SUM(E10:E34)</f>
        <v>50513.86</v>
      </c>
      <c r="C36" s="89"/>
      <c r="D36" s="89"/>
      <c r="E36" s="90"/>
      <c r="F36" s="25" t="s">
        <v>36</v>
      </c>
      <c r="G36" s="91">
        <f>SUM(O10:O35)</f>
        <v>48600</v>
      </c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8" t="s">
        <v>37</v>
      </c>
      <c r="S36" s="85">
        <f>SUM(W10:W35)</f>
        <v>4942.5</v>
      </c>
      <c r="T36" s="86"/>
      <c r="U36" s="86"/>
      <c r="V36" s="86"/>
      <c r="W36" s="87"/>
      <c r="X36" s="23"/>
    </row>
    <row r="40" spans="1:24">
      <c r="I40" s="37"/>
    </row>
  </sheetData>
  <mergeCells count="45">
    <mergeCell ref="P33:P35"/>
    <mergeCell ref="Q33:Q35"/>
    <mergeCell ref="K33:K35"/>
    <mergeCell ref="L33:L35"/>
    <mergeCell ref="M33:M35"/>
    <mergeCell ref="N33:N35"/>
    <mergeCell ref="O33:O35"/>
    <mergeCell ref="D33:D35"/>
    <mergeCell ref="C33:C35"/>
    <mergeCell ref="B33:B35"/>
    <mergeCell ref="A33:A35"/>
    <mergeCell ref="J33:J35"/>
    <mergeCell ref="X8:X9"/>
    <mergeCell ref="R8:W8"/>
    <mergeCell ref="F8:Q8"/>
    <mergeCell ref="S36:W36"/>
    <mergeCell ref="B36:E36"/>
    <mergeCell ref="G36:Q36"/>
    <mergeCell ref="E10:E15"/>
    <mergeCell ref="D10:D15"/>
    <mergeCell ref="C10:C15"/>
    <mergeCell ref="B10:B15"/>
    <mergeCell ref="O10:O15"/>
    <mergeCell ref="P10:P15"/>
    <mergeCell ref="Q10:Q15"/>
    <mergeCell ref="N10:N15"/>
    <mergeCell ref="E33:E35"/>
    <mergeCell ref="J29:J30"/>
    <mergeCell ref="A1:A2"/>
    <mergeCell ref="A8:E8"/>
    <mergeCell ref="B4:C4"/>
    <mergeCell ref="B5:C5"/>
    <mergeCell ref="B6:C6"/>
    <mergeCell ref="B1:W2"/>
    <mergeCell ref="A10:A15"/>
    <mergeCell ref="J10:J15"/>
    <mergeCell ref="K10:K15"/>
    <mergeCell ref="L10:L15"/>
    <mergeCell ref="M10:M15"/>
    <mergeCell ref="K29:K30"/>
    <mergeCell ref="A29:A30"/>
    <mergeCell ref="B29:B30"/>
    <mergeCell ref="C29:C30"/>
    <mergeCell ref="D29:D30"/>
    <mergeCell ref="E29:E30"/>
  </mergeCells>
  <pageMargins left="0.70866141732283472" right="0.70866141732283472" top="0.74803149606299213" bottom="0.74803149606299213" header="0.31496062992125984" footer="0.31496062992125984"/>
  <pageSetup paperSize="9" scale="40" orientation="landscape" r:id="rId1"/>
  <headerFooter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RDC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SopatNessrine</dc:creator>
  <cp:lastModifiedBy>Directeur</cp:lastModifiedBy>
  <cp:lastPrinted>2019-07-09T12:21:24Z</cp:lastPrinted>
  <dcterms:created xsi:type="dcterms:W3CDTF">2019-05-15T10:30:50Z</dcterms:created>
  <dcterms:modified xsi:type="dcterms:W3CDTF">2026-08-08T11:33:36Z</dcterms:modified>
</cp:coreProperties>
</file>